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eebbd69da84b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a36186b0a194789"/>
    <x:sheet xmlns:r="http://schemas.openxmlformats.org/officeDocument/2006/relationships" name="Instructions" sheetId="2" r:id="R37644e38d8024725"/>
    <x:sheet xmlns:r="http://schemas.openxmlformats.org/officeDocument/2006/relationships" name="Remediation Roadmap" sheetId="3" r:id="R4e3cde458b1b4598"/>
    <x:sheet xmlns:r="http://schemas.openxmlformats.org/officeDocument/2006/relationships" name="Phased View" sheetId="4" r:id="R2d29fe4fd5e14460"/>
    <x:sheet xmlns:r="http://schemas.openxmlformats.org/officeDocument/2006/relationships" name="Lookup" sheetId="5" r:id="R8a2f4bbd4f8744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1F1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D9EAF7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6ff208c9fc4a2f" /><Relationship Type="http://schemas.openxmlformats.org/officeDocument/2006/relationships/theme" Target="/xl/theme/theme1.xml" Id="R6b1f971e694747ef" /><Relationship Type="http://schemas.openxmlformats.org/officeDocument/2006/relationships/sharedStrings" Target="/xl/sharedStrings.xml" Id="R7bebdd2567f44274" /><Relationship Type="http://schemas.openxmlformats.org/officeDocument/2006/relationships/worksheet" Target="/xl/worksheets/sheet1.xml" Id="Rba36186b0a194789" /><Relationship Type="http://schemas.openxmlformats.org/officeDocument/2006/relationships/worksheet" Target="/xl/worksheets/sheet2.xml" Id="R37644e38d8024725" /><Relationship Type="http://schemas.openxmlformats.org/officeDocument/2006/relationships/worksheet" Target="/xl/worksheets/sheet3.xml" Id="R4e3cde458b1b4598" /><Relationship Type="http://schemas.openxmlformats.org/officeDocument/2006/relationships/worksheet" Target="/xl/worksheets/sheet4.xml" Id="R2d29fe4fd5e14460" /><Relationship Type="http://schemas.openxmlformats.org/officeDocument/2006/relationships/worksheet" Target="/xl/worksheets/sheet5.xml" Id="R8a2f4bbd4f8744c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9f59511219f4db3" /><Relationship Type="http://schemas.openxmlformats.org/officeDocument/2006/relationships/chart" Target="/xl/drawings/charts/chart2.xml" Id="Re10d4e30c4ea4b7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Roadmap Items by Priority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'Summary'!$A$25:$A$27</c:f>
              <c:strCache>
                <c:ptCount val="0"/>
              </c:strCache>
            </c:strRef>
          </c:cat>
          <c:val>
            <c:numRef>
              <c:f>'Summary'!$B$25:$B$27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Roadmap Items by Phase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Items</c:v>
          </c:tx>
          <c:cat>
            <c:strRef>
              <c:f>'Summary'!$D$25:$D$28</c:f>
              <c:strCache>
                <c:ptCount val="0"/>
              </c:strCache>
            </c:strRef>
          </c:cat>
          <c:val>
            <c:numRef>
              <c:f>'Summary'!$E$25:$E$28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f59511219f4db3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12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0d4e30c4ea4b7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mediationRoadmapTable" displayName="RemediationRoadmapTable" ref="A1:L21" headerRowCount="1">
  <x:tableColumns count="12">
    <x:tableColumn id="1" name="ID"/>
    <x:tableColumn id="2" name="Phase"/>
    <x:tableColumn id="3" name="Priority"/>
    <x:tableColumn id="4" name="NIST Category ID"/>
    <x:tableColumn id="5" name="Risk Theme"/>
    <x:tableColumn id="6" name="Recommendation"/>
    <x:tableColumn id="7" name="Owner"/>
    <x:tableColumn id="8" name="Estimated Cost / Effort"/>
    <x:tableColumn id="9" name="Status"/>
    <x:tableColumn id="10" name="Dependencies"/>
    <x:tableColumn id="11" name="Business Value"/>
    <x:tableColumn id="12" name="Risk Reduction Scor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b4cf9f17f1940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cb9d4f13146044b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3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8" customHeight="1">
      <x:c r="A1" s="5" t="str">
        <x:v>Midwest Precision Parts — Remediation Roadmap</x:v>
      </x:c>
    </x:row>
    <x:row r="2">
      <x:c r="A2" s="13" t="str">
        <x:v>Prioritized action plan based on the NIST CSF gap assessment.</x:v>
      </x:c>
    </x:row>
    <x:row r="4">
      <x:c r="A4" s="18" t="str">
        <x:v>Roadmap Snapshot</x:v>
      </x:c>
    </x:row>
    <x:row r="5">
      <x:c r="A5" t="str">
        <x:v>Company</x:v>
      </x:c>
      <x:c r="B5" t="str">
        <x:v>Midwest Precision Parts</x:v>
      </x:c>
      <x:c r="C5" t="str"/>
      <x:c r="D5" t="str"/>
    </x:row>
    <x:row r="6">
      <x:c r="A6" t="str">
        <x:v>Industry</x:v>
      </x:c>
      <x:c r="B6" t="str">
        <x:v>Small Manufacturing</x:v>
      </x:c>
      <x:c r="C6" t="str"/>
      <x:c r="D6" t="str"/>
    </x:row>
    <x:row r="7">
      <x:c r="A7" t="str">
        <x:v>Roadmap Horizon</x:v>
      </x:c>
      <x:c r="B7" t="str">
        <x:v>0-180 days</x:v>
      </x:c>
      <x:c r="C7" t="str"/>
      <x:c r="D7" t="str"/>
    </x:row>
    <x:row r="8">
      <x:c r="A8" t="str">
        <x:v>Framework</x:v>
      </x:c>
      <x:c r="B8" t="str">
        <x:v>NIST Cybersecurity Framework 2.0</x:v>
      </x:c>
      <x:c r="C8" t="str"/>
      <x:c r="D8" t="str"/>
    </x:row>
    <x:row r="9">
      <x:c r="A9" t="str">
        <x:v>Primary Goal</x:v>
      </x:c>
      <x:c r="B9" t="str">
        <x:v>Reduce ransomware, access, backup, vendor, and incident-response risk</x:v>
      </x:c>
      <x:c r="C9" t="str"/>
      <x:c r="D9" t="str"/>
    </x:row>
    <x:row r="10">
      <x:c r="A10" t="str">
        <x:v>Source</x:v>
      </x:c>
      <x:c r="B10" t="str">
        <x:v>https://www.nist.gov/cyberframework</x:v>
      </x:c>
      <x:c r="C10" t="str"/>
      <x:c r="D10" t="str"/>
    </x:row>
    <x:row r="11">
      <x:c r="A11" t="str">
        <x:v>Disclaimer</x:v>
      </x:c>
      <x:c r="B11" t="str">
        <x:v>Fictional portfolio scenario</x:v>
      </x:c>
      <x:c r="C11" t="str"/>
      <x:c r="D11" t="str"/>
    </x:row>
    <x:row r="13">
      <x:c r="A13" s="22" t="str">
        <x:v>KPI</x:v>
      </x:c>
      <x:c r="B13" s="22" t="str">
        <x:v>Value</x:v>
      </x:c>
      <x:c r="C13" s="22" t="str">
        <x:v>Notes</x:v>
      </x:c>
    </x:row>
    <x:row r="14">
      <x:c r="A14" t="str">
        <x:v>Total Roadmap Items</x:v>
      </x:c>
      <x:c r="B14" t="n">
        <x:f>COUNTA('Remediation Roadmap'!A2:A200)</x:f>
        <x:v>20</x:v>
      </x:c>
      <x:c r="C14" t="str">
        <x:v>Count of recommendations</x:v>
      </x:c>
    </x:row>
    <x:row r="15">
      <x:c r="A15" t="str">
        <x:v>High Priority Items</x:v>
      </x:c>
      <x:c r="B15" t="n">
        <x:f>COUNTIF('Remediation Roadmap'!C2:C200,"High")</x:f>
        <x:v>10</x:v>
      </x:c>
      <x:c r="C15" t="str">
        <x:v>Immediate business-risk reduction</x:v>
      </x:c>
    </x:row>
    <x:row r="16">
      <x:c r="A16" t="str">
        <x:v>Medium Priority Items</x:v>
      </x:c>
      <x:c r="B16" t="n">
        <x:f>COUNTIF('Remediation Roadmap'!C2:C200,"Medium")</x:f>
        <x:v>9</x:v>
      </x:c>
      <x:c r="C16" t="str">
        <x:v>Important but can follow urgent items</x:v>
      </x:c>
    </x:row>
    <x:row r="17">
      <x:c r="A17" t="str">
        <x:v>Low Priority Items</x:v>
      </x:c>
      <x:c r="B17" t="n">
        <x:f>COUNTIF('Remediation Roadmap'!C2:C200,"Low")</x:f>
        <x:v>1</x:v>
      </x:c>
      <x:c r="C17" t="str">
        <x:v>Lower urgency / process improvement</x:v>
      </x:c>
    </x:row>
    <x:row r="18">
      <x:c r="A18" t="str">
        <x:v>Not Started</x:v>
      </x:c>
      <x:c r="B18" t="n">
        <x:f>COUNTIF('Remediation Roadmap'!I2:I200,"Not Started")</x:f>
        <x:v>18</x:v>
      </x:c>
      <x:c r="C18" t="str">
        <x:v>Status count</x:v>
      </x:c>
    </x:row>
    <x:row r="19">
      <x:c r="A19" t="str">
        <x:v>In Progress</x:v>
      </x:c>
      <x:c r="B19" t="n">
        <x:f>COUNTIF('Remediation Roadmap'!I2:I200,"In Progress")</x:f>
        <x:v>2</x:v>
      </x:c>
      <x:c r="C19" t="str">
        <x:v>Status count</x:v>
      </x:c>
    </x:row>
    <x:row r="20">
      <x:c r="A20" t="str">
        <x:v>Completed</x:v>
      </x:c>
      <x:c r="B20" t="n">
        <x:f>COUNTIF('Remediation Roadmap'!I2:I200,"Completed")</x:f>
        <x:v>0</x:v>
      </x:c>
      <x:c r="C20" t="str">
        <x:v>Status count</x:v>
      </x:c>
    </x:row>
    <x:row r="21">
      <x:c r="A21" t="str">
        <x:v>Average Risk Reduction Score</x:v>
      </x:c>
      <x:c r="B21" t="n">
        <x:f>ROUND(AVERAGE('Remediation Roadmap'!L2:L200),1)</x:f>
        <x:v>3.9</x:v>
      </x:c>
      <x:c r="C21" t="str">
        <x:v>1 = low, 5 = high</x:v>
      </x:c>
    </x:row>
    <x:row r="24">
      <x:c r="A24" s="22" t="str">
        <x:v>Priority</x:v>
      </x:c>
      <x:c r="B24" s="22" t="str">
        <x:v>Count</x:v>
      </x:c>
      <x:c r="D24" s="22" t="str">
        <x:v>Phase</x:v>
      </x:c>
      <x:c r="E24" s="22" t="str">
        <x:v>Items</x:v>
      </x:c>
      <x:c r="F24" s="22" t="str">
        <x:v>Avg Risk Reduction</x:v>
      </x:c>
    </x:row>
    <x:row r="25">
      <x:c r="A25" t="str">
        <x:v>High</x:v>
      </x:c>
      <x:c r="B25" t="n">
        <x:f>COUNTIF('Remediation Roadmap'!C:C,A25)</x:f>
        <x:v>10</x:v>
      </x:c>
      <x:c r="D25" t="str">
        <x:v>Phase 1: 0-30 Days</x:v>
      </x:c>
      <x:c r="E25" t="n">
        <x:f>COUNTIF('Remediation Roadmap'!B:B,D25)</x:f>
        <x:v>5</x:v>
      </x:c>
      <x:c r="F25" t="n">
        <x:f>IFERROR(ROUND(SUMIF('Remediation Roadmap'!B:B,D25,'Remediation Roadmap'!L:L)/E25,1),0)</x:f>
        <x:v>4.6</x:v>
      </x:c>
    </x:row>
    <x:row r="26">
      <x:c r="A26" t="str">
        <x:v>Medium</x:v>
      </x:c>
      <x:c r="B26" t="n">
        <x:f>COUNTIF('Remediation Roadmap'!C:C,A26)</x:f>
        <x:v>9</x:v>
      </x:c>
      <x:c r="D26" t="str">
        <x:v>Phase 2: 31-60 Days</x:v>
      </x:c>
      <x:c r="E26" t="n">
        <x:f>COUNTIF('Remediation Roadmap'!B:B,D26)</x:f>
        <x:v>5</x:v>
      </x:c>
      <x:c r="F26" t="n">
        <x:f>IFERROR(ROUND(SUMIF('Remediation Roadmap'!B:B,D26,'Remediation Roadmap'!L:L)/E26,1),0)</x:f>
        <x:v>4.2</x:v>
      </x:c>
    </x:row>
    <x:row r="27">
      <x:c r="A27" t="str">
        <x:v>Low</x:v>
      </x:c>
      <x:c r="B27" t="n">
        <x:f>COUNTIF('Remediation Roadmap'!C:C,A27)</x:f>
        <x:v>1</x:v>
      </x:c>
      <x:c r="D27" t="str">
        <x:v>Phase 3: 61-90 Days</x:v>
      </x:c>
      <x:c r="E27" t="n">
        <x:f>COUNTIF('Remediation Roadmap'!B:B,D27)</x:f>
        <x:v>5</x:v>
      </x:c>
      <x:c r="F27" t="n">
        <x:f>IFERROR(ROUND(SUMIF('Remediation Roadmap'!B:B,D27,'Remediation Roadmap'!L:L)/E27,1),0)</x:f>
        <x:v>3.2</x:v>
      </x:c>
    </x:row>
    <x:row r="28">
      <x:c r="A28" t="str"/>
      <x:c r="B28" t="str"/>
      <x:c r="D28" t="str">
        <x:v>Phase 4: 91-180 Days</x:v>
      </x:c>
      <x:c r="E28" t="n">
        <x:f>COUNTIF('Remediation Roadmap'!B:B,D28)</x:f>
        <x:v>5</x:v>
      </x:c>
      <x:c r="F28" t="n">
        <x:f>IFERROR(ROUND(SUMIF('Remediation Roadmap'!B:B,D28,'Remediation Roadmap'!L:L)/E28,1),0)</x:f>
        <x:v>3.4</x:v>
      </x:c>
    </x:row>
    <x:row r="29">
      <x:c r="D29" t="str"/>
      <x:c r="E29" t="str"/>
      <x:c r="F29" t="str"/>
    </x:row>
    <x:row r="31">
      <x:c r="A31" s="18" t="str">
        <x:v>Leadership Summary</x:v>
      </x:c>
    </x:row>
    <x:row r="32">
      <x:c r="A32" s="26" t="str">
        <x:v>The first 30 days focus on the highest-impact controls: assigning ownership, enforcing MFA, creating an incident response plan, validating backups, and building a starter asset inventory. The next phases formalize access reviews, vendor risk, recovery priorities, policies, training, endpoint reporting, alert review, and executive oversight.</x:v>
      </x:c>
    </x:row>
  </x:sheetData>
  <x:mergeCells>
    <x:mergeCell ref="A1:L1"/>
    <x:mergeCell ref="A2:L2"/>
    <x:mergeCell ref="A4:D4"/>
    <x:mergeCell ref="A31:L31"/>
    <x:mergeCell ref="A32:L34"/>
  </x:mergeCells>
  <x:pageMargins left="0.7" right="0.7" top="0.75" bottom="0.75" header="0.3" footer="0.3"/>
  <x:drawing xmlns:r="http://schemas.openxmlformats.org/officeDocument/2006/relationships" r:id="R9b4cf9f17f194019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8" hidden="0" customWidth="1"/>
  </x:cols>
  <x:sheetData>
    <x:row r="1" ht="28" customHeight="1">
      <x:c r="A1" s="5" t="str">
        <x:v>Instructions</x:v>
      </x:c>
    </x:row>
    <x:row r="2">
      <x:c r="A2" s="13" t="str">
        <x:v>How to use the remediation roadmap.</x:v>
      </x:c>
    </x:row>
    <x:row r="4">
      <x:c r="A4" s="22" t="str">
        <x:v>Purpose</x:v>
      </x:c>
      <x:c r="B4" s="22" t="str">
        <x:v>This workbook converts the NIST CSF gap assessment into a practical remediation plan.</x:v>
      </x:c>
    </x:row>
    <x:row r="5">
      <x:c r="A5" s="26" t="str">
        <x:v>Phases</x:v>
      </x:c>
      <x:c r="B5" s="26" t="str">
        <x:v>Phase 1 is the first 30 days; Phase 2 is 31-60 days; Phase 3 is 61-90 days; Phase 4 is 91-180 days.</x:v>
      </x:c>
    </x:row>
    <x:row r="6">
      <x:c r="A6" s="26" t="str">
        <x:v>Priority</x:v>
      </x:c>
      <x:c r="B6" s="26" t="str">
        <x:v>High items reduce the most important business risks first.</x:v>
      </x:c>
    </x:row>
    <x:row r="7">
      <x:c r="A7" s="26" t="str">
        <x:v>Cost</x:v>
      </x:c>
      <x:c r="B7" s="26" t="str">
        <x:v>Estimated effort/cost is directional only: Low, Low-Medium, Medium, or High.</x:v>
      </x:c>
    </x:row>
    <x:row r="8">
      <x:c r="A8" s="26" t="str">
        <x:v>Status</x:v>
      </x:c>
      <x:c r="B8" s="26" t="str">
        <x:v>Use Not Started, In Progress, Blocked, or Completed.</x:v>
      </x:c>
    </x:row>
    <x:row r="9">
      <x:c r="A9" s="26" t="str">
        <x:v>Risk Reduction Score</x:v>
      </x:c>
      <x:c r="B9" s="26" t="str">
        <x:v>1 = limited risk reduction; 5 = major reduction in business risk.</x:v>
      </x:c>
    </x:row>
    <x:row r="10">
      <x:c r="A10" s="26" t="str">
        <x:v>Review Cadence</x:v>
      </x:c>
      <x:c r="B10" s="26" t="str">
        <x:v>Review this roadmap monthly with leadership and update owners/statuses.</x:v>
      </x:c>
    </x:row>
    <x:row r="11">
      <x:c r="A11" s="26" t="str">
        <x:v>Source</x:v>
      </x:c>
      <x:c r="B11" s="26" t="str">
        <x:v>https://www.nist.gov/cyberframework</x:v>
      </x:c>
    </x:row>
    <x:row r="12">
      <x:c r="A12" s="26" t="str">
        <x:v>Disclaimer</x:v>
      </x:c>
      <x:c r="B12" s="26" t="str">
        <x:v>This is fictional portfolio work and does not represent any real company or client.</x:v>
      </x:c>
    </x:row>
  </x:sheetData>
  <x:mergeCells>
    <x:mergeCell ref="A1:H1"/>
    <x:mergeCell ref="A2:L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12" hidden="0" customWidth="1"/>
    <x:col min="4" max="4" width="14" hidden="0" customWidth="1"/>
    <x:col min="5" max="5" width="28" hidden="0" customWidth="1"/>
    <x:col min="6" max="6" width="48" hidden="0" customWidth="1"/>
    <x:col min="7" max="7" width="24" hidden="0" customWidth="1"/>
    <x:col min="8" max="8" width="18" hidden="0" customWidth="1"/>
    <x:col min="9" max="9" width="14" hidden="0" customWidth="1"/>
    <x:col min="10" max="10" width="28" hidden="0" customWidth="1"/>
    <x:col min="11" max="11" width="44" hidden="0" customWidth="1"/>
    <x:col min="12" max="12" width="16" hidden="0" customWidth="1"/>
  </x:cols>
  <x:sheetData>
    <x:row r="1">
      <x:c r="A1" s="22" t="str">
        <x:v>ID</x:v>
      </x:c>
      <x:c r="B1" s="22" t="str">
        <x:v>Phase</x:v>
      </x:c>
      <x:c r="C1" s="22" t="str">
        <x:v>Priority</x:v>
      </x:c>
      <x:c r="D1" s="22" t="str">
        <x:v>NIST Category ID</x:v>
      </x:c>
      <x:c r="E1" s="22" t="str">
        <x:v>Risk Theme</x:v>
      </x:c>
      <x:c r="F1" s="22" t="str">
        <x:v>Recommendation</x:v>
      </x:c>
      <x:c r="G1" s="22" t="str">
        <x:v>Owner</x:v>
      </x:c>
      <x:c r="H1" s="22" t="str">
        <x:v>Estimated Cost / Effort</x:v>
      </x:c>
      <x:c r="I1" s="22" t="str">
        <x:v>Status</x:v>
      </x:c>
      <x:c r="J1" s="22" t="str">
        <x:v>Dependencies</x:v>
      </x:c>
      <x:c r="K1" s="22" t="str">
        <x:v>Business Value</x:v>
      </x:c>
      <x:c r="L1" s="22" t="str">
        <x:v>Risk Reduction Score</x:v>
      </x:c>
    </x:row>
    <x:row r="2">
      <x:c r="A2" s="26" t="str">
        <x:v>RM-001</x:v>
      </x:c>
      <x:c r="B2" s="26" t="str">
        <x:v>Phase 1: 0-30 Days</x:v>
      </x:c>
      <x:c r="C2" s="26" t="str">
        <x:v>High</x:v>
      </x:c>
      <x:c r="D2" s="26" t="str">
        <x:v>GV.RR</x:v>
      </x:c>
      <x:c r="E2" s="26" t="str">
        <x:v>Cybersecurity ownership</x:v>
      </x:c>
      <x:c r="F2" s="26" t="str">
        <x:v>Assign an internal cybersecurity/risk owner and define escalation responsibilities.</x:v>
      </x:c>
      <x:c r="G2" s="26" t="str">
        <x:v>Leadership / Operations</x:v>
      </x:c>
      <x:c r="H2" s="26" t="str">
        <x:v>Low</x:v>
      </x:c>
      <x:c r="I2" s="26" t="str">
        <x:v>Not Started</x:v>
      </x:c>
      <x:c r="J2" s="26" t="str">
        <x:v>None</x:v>
      </x:c>
      <x:c r="K2" s="26" t="str">
        <x:v>Clarifies accountability for access, vendor, backup, policy, and incident decisions.</x:v>
      </x:c>
      <x:c r="L2" s="26" t="n">
        <x:v>4</x:v>
      </x:c>
    </x:row>
    <x:row r="3">
      <x:c r="A3" s="26" t="str">
        <x:v>RM-002</x:v>
      </x:c>
      <x:c r="B3" s="26" t="str">
        <x:v>Phase 1: 0-30 Days</x:v>
      </x:c>
      <x:c r="C3" s="26" t="str">
        <x:v>High</x:v>
      </x:c>
      <x:c r="D3" s="26" t="str">
        <x:v>PR.AA</x:v>
      </x:c>
      <x:c r="E3" s="26" t="str">
        <x:v>MFA enforcement</x:v>
      </x:c>
      <x:c r="F3" s="26" t="str">
        <x:v>Require MFA for email, cloud apps, remote access, finance systems, and critical vendor portals.</x:v>
      </x:c>
      <x:c r="G3" s="26" t="str">
        <x:v>IT</x:v>
      </x:c>
      <x:c r="H3" s="26" t="str">
        <x:v>Low-Medium</x:v>
      </x:c>
      <x:c r="I3" s="26" t="str">
        <x:v>Not Started</x:v>
      </x:c>
      <x:c r="J3" s="26" t="str">
        <x:v>Inventory critical applications</x:v>
      </x:c>
      <x:c r="K3" s="26" t="str">
        <x:v>Reduces credential compromise and unauthorized access risk.</x:v>
      </x:c>
      <x:c r="L3" s="26" t="n">
        <x:v>5</x:v>
      </x:c>
    </x:row>
    <x:row r="4">
      <x:c r="A4" s="26" t="str">
        <x:v>RM-003</x:v>
      </x:c>
      <x:c r="B4" s="26" t="str">
        <x:v>Phase 1: 0-30 Days</x:v>
      </x:c>
      <x:c r="C4" s="26" t="str">
        <x:v>High</x:v>
      </x:c>
      <x:c r="D4" s="26" t="str">
        <x:v>RS.MA</x:v>
      </x:c>
      <x:c r="E4" s="26" t="str">
        <x:v>Incident response plan</x:v>
      </x:c>
      <x:c r="F4" s="26" t="str">
        <x:v>Create a basic incident response plan for ransomware, phishing, unauthorized access, lost device, and outage scenarios.</x:v>
      </x:c>
      <x:c r="G4" s="26" t="str">
        <x:v>Cybersecurity Owner / Leadership</x:v>
      </x:c>
      <x:c r="H4" s="26" t="str">
        <x:v>Low</x:v>
      </x:c>
      <x:c r="I4" s="26" t="str">
        <x:v>Not Started</x:v>
      </x:c>
      <x:c r="J4" s="26" t="str">
        <x:v>Cybersecurity owner assigned</x:v>
      </x:c>
      <x:c r="K4" s="26" t="str">
        <x:v>Improves speed and consistency of incident decisions.</x:v>
      </x:c>
      <x:c r="L4" s="26" t="n">
        <x:v>5</x:v>
      </x:c>
    </x:row>
    <x:row r="5">
      <x:c r="A5" s="26" t="str">
        <x:v>RM-004</x:v>
      </x:c>
      <x:c r="B5" s="26" t="str">
        <x:v>Phase 1: 0-30 Days</x:v>
      </x:c>
      <x:c r="C5" s="26" t="str">
        <x:v>High</x:v>
      </x:c>
      <x:c r="D5" s="26" t="str">
        <x:v>PR.IR</x:v>
      </x:c>
      <x:c r="E5" s="26" t="str">
        <x:v>Backup restore test</x:v>
      </x:c>
      <x:c r="F5" s="26" t="str">
        <x:v>Perform a documented restore test for critical shared file storage and one business-critical application.</x:v>
      </x:c>
      <x:c r="G5" s="26" t="str">
        <x:v>IT / Operations</x:v>
      </x:c>
      <x:c r="H5" s="26" t="str">
        <x:v>Low</x:v>
      </x:c>
      <x:c r="I5" s="26" t="str">
        <x:v>Not Started</x:v>
      </x:c>
      <x:c r="J5" s="26" t="str">
        <x:v>Critical systems identified</x:v>
      </x:c>
      <x:c r="K5" s="26" t="str">
        <x:v>Validates whether the business can recover from ransomware or data loss.</x:v>
      </x:c>
      <x:c r="L5" s="26" t="n">
        <x:v>5</x:v>
      </x:c>
    </x:row>
    <x:row r="6">
      <x:c r="A6" s="26" t="str">
        <x:v>RM-005</x:v>
      </x:c>
      <x:c r="B6" s="26" t="str">
        <x:v>Phase 1: 0-30 Days</x:v>
      </x:c>
      <x:c r="C6" s="26" t="str">
        <x:v>High</x:v>
      </x:c>
      <x:c r="D6" s="26" t="str">
        <x:v>ID.AM</x:v>
      </x:c>
      <x:c r="E6" s="26" t="str">
        <x:v>Critical asset inventory</x:v>
      </x:c>
      <x:c r="F6" s="26" t="str">
        <x:v>Build a starter inventory for endpoints, users, shared storage, cloud applications, vendor portals, and critical data locations.</x:v>
      </x:c>
      <x:c r="G6" s="26" t="str">
        <x:v>IT / Operations</x:v>
      </x:c>
      <x:c r="H6" s="26" t="str">
        <x:v>Low</x:v>
      </x:c>
      <x:c r="I6" s="26" t="str">
        <x:v>In Progress</x:v>
      </x:c>
      <x:c r="J6" s="26" t="str">
        <x:v>None</x:v>
      </x:c>
      <x:c r="K6" s="26" t="str">
        <x:v>Improves visibility into what must be protected and restored.</x:v>
      </x:c>
      <x:c r="L6" s="26" t="n">
        <x:v>4</x:v>
      </x:c>
    </x:row>
    <x:row r="7">
      <x:c r="A7" s="26" t="str">
        <x:v>RM-006</x:v>
      </x:c>
      <x:c r="B7" s="26" t="str">
        <x:v>Phase 2: 31-60 Days</x:v>
      </x:c>
      <x:c r="C7" s="26" t="str">
        <x:v>High</x:v>
      </x:c>
      <x:c r="D7" s="26" t="str">
        <x:v>PR.AA</x:v>
      </x:c>
      <x:c r="E7" s="26" t="str">
        <x:v>Quarterly access reviews</x:v>
      </x:c>
      <x:c r="F7" s="26" t="str">
        <x:v>Start quarterly access reviews for shared folders, finance tools, cloud applications, and vendor portals.</x:v>
      </x:c>
      <x:c r="G7" s="26" t="str">
        <x:v>Managers / IT</x:v>
      </x:c>
      <x:c r="H7" s="26" t="str">
        <x:v>Low</x:v>
      </x:c>
      <x:c r="I7" s="26" t="str">
        <x:v>Not Started</x:v>
      </x:c>
      <x:c r="J7" s="26" t="str">
        <x:v>Asset/application inventory</x:v>
      </x:c>
      <x:c r="K7" s="26" t="str">
        <x:v>Reduces excessive or stale access.</x:v>
      </x:c>
      <x:c r="L7" s="26" t="n">
        <x:v>5</x:v>
      </x:c>
    </x:row>
    <x:row r="8">
      <x:c r="A8" s="26" t="str">
        <x:v>RM-007</x:v>
      </x:c>
      <x:c r="B8" s="26" t="str">
        <x:v>Phase 2: 31-60 Days</x:v>
      </x:c>
      <x:c r="C8" s="26" t="str">
        <x:v>High</x:v>
      </x:c>
      <x:c r="D8" s="26" t="str">
        <x:v>PR.AA</x:v>
      </x:c>
      <x:c r="E8" s="26" t="str">
        <x:v>Joiner/mover/leaver workflow</x:v>
      </x:c>
      <x:c r="F8" s="26" t="str">
        <x:v>Create a simple access request, approval, and deprovisioning workflow with retained evidence.</x:v>
      </x:c>
      <x:c r="G8" s="26" t="str">
        <x:v>HR / IT</x:v>
      </x:c>
      <x:c r="H8" s="26" t="str">
        <x:v>Low</x:v>
      </x:c>
      <x:c r="I8" s="26" t="str">
        <x:v>Not Started</x:v>
      </x:c>
      <x:c r="J8" s="26" t="str">
        <x:v>Manager ownership defined</x:v>
      </x:c>
      <x:c r="K8" s="26" t="str">
        <x:v>Makes access changes more consistent and auditable.</x:v>
      </x:c>
      <x:c r="L8" s="26" t="n">
        <x:v>4</x:v>
      </x:c>
    </x:row>
    <x:row r="9">
      <x:c r="A9" s="26" t="str">
        <x:v>RM-008</x:v>
      </x:c>
      <x:c r="B9" s="26" t="str">
        <x:v>Phase 2: 31-60 Days</x:v>
      </x:c>
      <x:c r="C9" s="26" t="str">
        <x:v>High</x:v>
      </x:c>
      <x:c r="D9" s="26" t="str">
        <x:v>GV.SC</x:v>
      </x:c>
      <x:c r="E9" s="26" t="str">
        <x:v>Vendor risk review</x:v>
      </x:c>
      <x:c r="F9" s="26" t="str">
        <x:v>Create a vendor inventory and lightweight critical-vendor risk review checklist.</x:v>
      </x:c>
      <x:c r="G9" s="26" t="str">
        <x:v>Finance / Operations</x:v>
      </x:c>
      <x:c r="H9" s="26" t="str">
        <x:v>Low</x:v>
      </x:c>
      <x:c r="I9" s="26" t="str">
        <x:v>Not Started</x:v>
      </x:c>
      <x:c r="J9" s="26" t="str">
        <x:v>Critical vendors identified</x:v>
      </x:c>
      <x:c r="K9" s="26" t="str">
        <x:v>Improves third-party visibility and contract/security expectations.</x:v>
      </x:c>
      <x:c r="L9" s="26" t="n">
        <x:v>4</x:v>
      </x:c>
    </x:row>
    <x:row r="10">
      <x:c r="A10" s="26" t="str">
        <x:v>RM-009</x:v>
      </x:c>
      <x:c r="B10" s="26" t="str">
        <x:v>Phase 2: 31-60 Days</x:v>
      </x:c>
      <x:c r="C10" s="26" t="str">
        <x:v>Medium</x:v>
      </x:c>
      <x:c r="D10" s="26" t="str">
        <x:v>GV.PO</x:v>
      </x:c>
      <x:c r="E10" s="26" t="str">
        <x:v>Core policy set</x:v>
      </x:c>
      <x:c r="F10" s="26" t="str">
        <x:v>Publish acceptable use, password/access, data handling, and incident reporting policies.</x:v>
      </x:c>
      <x:c r="G10" s="26" t="str">
        <x:v>Operations / HR</x:v>
      </x:c>
      <x:c r="H10" s="26" t="str">
        <x:v>Low</x:v>
      </x:c>
      <x:c r="I10" s="26" t="str">
        <x:v>Not Started</x:v>
      </x:c>
      <x:c r="J10" s="26" t="str">
        <x:v>Leadership approval</x:v>
      </x:c>
      <x:c r="K10" s="26" t="str">
        <x:v>Sets clear expectations and supports consistent enforcement.</x:v>
      </x:c>
      <x:c r="L10" s="26" t="n">
        <x:v>3</x:v>
      </x:c>
    </x:row>
    <x:row r="11">
      <x:c r="A11" s="26" t="str">
        <x:v>RM-010</x:v>
      </x:c>
      <x:c r="B11" s="26" t="str">
        <x:v>Phase 2: 31-60 Days</x:v>
      </x:c>
      <x:c r="C11" s="26" t="str">
        <x:v>High</x:v>
      </x:c>
      <x:c r="D11" s="26" t="str">
        <x:v>RC.RP</x:v>
      </x:c>
      <x:c r="E11" s="26" t="str">
        <x:v>Recovery priority list</x:v>
      </x:c>
      <x:c r="F11" s="26" t="str">
        <x:v>Define critical processes, systems, owners, and recovery sequence for major outages or ransomware.</x:v>
      </x:c>
      <x:c r="G11" s="26" t="str">
        <x:v>Leadership / Operations</x:v>
      </x:c>
      <x:c r="H11" s="26" t="str">
        <x:v>Low</x:v>
      </x:c>
      <x:c r="I11" s="26" t="str">
        <x:v>Not Started</x:v>
      </x:c>
      <x:c r="J11" s="26" t="str">
        <x:v>Asset inventory and backup review</x:v>
      </x:c>
      <x:c r="K11" s="26" t="str">
        <x:v>Reduces confusion during recovery.</x:v>
      </x:c>
      <x:c r="L11" s="26" t="n">
        <x:v>5</x:v>
      </x:c>
    </x:row>
    <x:row r="12">
      <x:c r="A12" s="26" t="str">
        <x:v>RM-011</x:v>
      </x:c>
      <x:c r="B12" s="26" t="str">
        <x:v>Phase 3: 61-90 Days</x:v>
      </x:c>
      <x:c r="C12" s="26" t="str">
        <x:v>Medium</x:v>
      </x:c>
      <x:c r="D12" s="26" t="str">
        <x:v>PR.AT</x:v>
      </x:c>
      <x:c r="E12" s="26" t="str">
        <x:v>Security awareness training</x:v>
      </x:c>
      <x:c r="F12" s="26" t="str">
        <x:v>Launch annual awareness training and quarterly phishing/ransomware reminders.</x:v>
      </x:c>
      <x:c r="G12" s="26" t="str">
        <x:v>HR / Cybersecurity Owner</x:v>
      </x:c>
      <x:c r="H12" s="26" t="str">
        <x:v>Low</x:v>
      </x:c>
      <x:c r="I12" s="26" t="str">
        <x:v>Not Started</x:v>
      </x:c>
      <x:c r="J12" s="26" t="str">
        <x:v>Policy basics finalized</x:v>
      </x:c>
      <x:c r="K12" s="26" t="str">
        <x:v>Reduces employee-driven phishing and ransomware risk.</x:v>
      </x:c>
      <x:c r="L12" s="26" t="n">
        <x:v>3</x:v>
      </x:c>
    </x:row>
    <x:row r="13">
      <x:c r="A13" s="26" t="str">
        <x:v>RM-012</x:v>
      </x:c>
      <x:c r="B13" s="26" t="str">
        <x:v>Phase 3: 61-90 Days</x:v>
      </x:c>
      <x:c r="C13" s="26" t="str">
        <x:v>Medium</x:v>
      </x:c>
      <x:c r="D13" s="26" t="str">
        <x:v>PR.PS</x:v>
      </x:c>
      <x:c r="E13" s="26" t="str">
        <x:v>Endpoint protection coverage review</x:v>
      </x:c>
      <x:c r="F13" s="26" t="str">
        <x:v>Create monthly reporting for endpoint protection status and missing agents.</x:v>
      </x:c>
      <x:c r="G13" s="26" t="str">
        <x:v>IT</x:v>
      </x:c>
      <x:c r="H13" s="26" t="str">
        <x:v>Low</x:v>
      </x:c>
      <x:c r="I13" s="26" t="str">
        <x:v>Not Started</x:v>
      </x:c>
      <x:c r="J13" s="26" t="str">
        <x:v>Endpoint inventory</x:v>
      </x:c>
      <x:c r="K13" s="26" t="str">
        <x:v>Improves visibility into unprotected systems.</x:v>
      </x:c>
      <x:c r="L13" s="26" t="n">
        <x:v>3</x:v>
      </x:c>
    </x:row>
    <x:row r="14">
      <x:c r="A14" s="26" t="str">
        <x:v>RM-013</x:v>
      </x:c>
      <x:c r="B14" s="26" t="str">
        <x:v>Phase 3: 61-90 Days</x:v>
      </x:c>
      <x:c r="C14" s="26" t="str">
        <x:v>Medium</x:v>
      </x:c>
      <x:c r="D14" s="26" t="str">
        <x:v>PR.PS</x:v>
      </x:c>
      <x:c r="E14" s="26" t="str">
        <x:v>Patch reporting baseline</x:v>
      </x:c>
      <x:c r="F14" s="26" t="str">
        <x:v>Document patch expectations and require monthly patch status reporting from IT provider.</x:v>
      </x:c>
      <x:c r="G14" s="26" t="str">
        <x:v>IT</x:v>
      </x:c>
      <x:c r="H14" s="26" t="str">
        <x:v>Low</x:v>
      </x:c>
      <x:c r="I14" s="26" t="str">
        <x:v>Not Started</x:v>
      </x:c>
      <x:c r="J14" s="26" t="str">
        <x:v>Endpoint inventory</x:v>
      </x:c>
      <x:c r="K14" s="26" t="str">
        <x:v>Reduces exposure from known vulnerabilities.</x:v>
      </x:c>
      <x:c r="L14" s="26" t="n">
        <x:v>3</x:v>
      </x:c>
    </x:row>
    <x:row r="15">
      <x:c r="A15" s="26" t="str">
        <x:v>RM-014</x:v>
      </x:c>
      <x:c r="B15" s="26" t="str">
        <x:v>Phase 3: 61-90 Days</x:v>
      </x:c>
      <x:c r="C15" s="26" t="str">
        <x:v>Medium</x:v>
      </x:c>
      <x:c r="D15" s="26" t="str">
        <x:v>DE.CM</x:v>
      </x:c>
      <x:c r="E15" s="26" t="str">
        <x:v>Critical alert review</x:v>
      </x:c>
      <x:c r="F15" s="26" t="str">
        <x:v>Define priority security alerts and who reviews them for email, endpoints, and cloud applications.</x:v>
      </x:c>
      <x:c r="G15" s="26" t="str">
        <x:v>IT</x:v>
      </x:c>
      <x:c r="H15" s="26" t="str">
        <x:v>Low-Medium</x:v>
      </x:c>
      <x:c r="I15" s="26" t="str">
        <x:v>Not Started</x:v>
      </x:c>
      <x:c r="J15" s="26" t="str">
        <x:v>MFA and endpoint coverage review</x:v>
      </x:c>
      <x:c r="K15" s="26" t="str">
        <x:v>Improves detection without requiring a full SOC.</x:v>
      </x:c>
      <x:c r="L15" s="26" t="n">
        <x:v>3</x:v>
      </x:c>
    </x:row>
    <x:row r="16">
      <x:c r="A16" s="26" t="str">
        <x:v>RM-015</x:v>
      </x:c>
      <x:c r="B16" s="26" t="str">
        <x:v>Phase 3: 61-90 Days</x:v>
      </x:c>
      <x:c r="C16" s="26" t="str">
        <x:v>Medium</x:v>
      </x:c>
      <x:c r="D16" s="26" t="str">
        <x:v>ID.IM</x:v>
      </x:c>
      <x:c r="E16" s="26" t="str">
        <x:v>Remediation tracking</x:v>
      </x:c>
      <x:c r="F16" s="26" t="str">
        <x:v>Review this roadmap monthly until high-priority gaps are closed.</x:v>
      </x:c>
      <x:c r="G16" s="26" t="str">
        <x:v>Cybersecurity Owner</x:v>
      </x:c>
      <x:c r="H16" s="26" t="str">
        <x:v>Low</x:v>
      </x:c>
      <x:c r="I16" s="26" t="str">
        <x:v>In Progress</x:v>
      </x:c>
      <x:c r="J16" s="26" t="str">
        <x:v>Cybersecurity owner assigned</x:v>
      </x:c>
      <x:c r="K16" s="26" t="str">
        <x:v>Helps keep remediation from stalling.</x:v>
      </x:c>
      <x:c r="L16" s="26" t="n">
        <x:v>4</x:v>
      </x:c>
    </x:row>
    <x:row r="17">
      <x:c r="A17" s="26" t="str">
        <x:v>RM-016</x:v>
      </x:c>
      <x:c r="B17" s="26" t="str">
        <x:v>Phase 4: 91-180 Days</x:v>
      </x:c>
      <x:c r="C17" s="26" t="str">
        <x:v>Medium</x:v>
      </x:c>
      <x:c r="D17" s="26" t="str">
        <x:v>RS.AN</x:v>
      </x:c>
      <x:c r="E17" s="26" t="str">
        <x:v>Evidence handling checklist</x:v>
      </x:c>
      <x:c r="F17" s="26" t="str">
        <x:v>Add evidence preservation steps for suspicious emails, endpoint alerts, logs, screenshots, and affected devices.</x:v>
      </x:c>
      <x:c r="G17" s="26" t="str">
        <x:v>IT / Cybersecurity Owner</x:v>
      </x:c>
      <x:c r="H17" s="26" t="str">
        <x:v>Low</x:v>
      </x:c>
      <x:c r="I17" s="26" t="str">
        <x:v>Not Started</x:v>
      </x:c>
      <x:c r="J17" s="26" t="str">
        <x:v>Incident response plan</x:v>
      </x:c>
      <x:c r="K17" s="26" t="str">
        <x:v>Improves incident analysis and insurance support.</x:v>
      </x:c>
      <x:c r="L17" s="26" t="n">
        <x:v>3</x:v>
      </x:c>
    </x:row>
    <x:row r="18">
      <x:c r="A18" s="26" t="str">
        <x:v>RM-017</x:v>
      </x:c>
      <x:c r="B18" s="26" t="str">
        <x:v>Phase 4: 91-180 Days</x:v>
      </x:c>
      <x:c r="C18" s="26" t="str">
        <x:v>Medium</x:v>
      </x:c>
      <x:c r="D18" s="26" t="str">
        <x:v>RC.CO</x:v>
      </x:c>
      <x:c r="E18" s="26" t="str">
        <x:v>Communication templates</x:v>
      </x:c>
      <x:c r="F18" s="26" t="str">
        <x:v>Prepare employee, customer, vendor, legal, insurer, and leadership communication templates for major incidents.</x:v>
      </x:c>
      <x:c r="G18" s="26" t="str">
        <x:v>Leadership / HR</x:v>
      </x:c>
      <x:c r="H18" s="26" t="str">
        <x:v>Low</x:v>
      </x:c>
      <x:c r="I18" s="26" t="str">
        <x:v>Not Started</x:v>
      </x:c>
      <x:c r="J18" s="26" t="str">
        <x:v>Incident response plan</x:v>
      </x:c>
      <x:c r="K18" s="26" t="str">
        <x:v>Reduces confusion and reputational risk during recovery.</x:v>
      </x:c>
      <x:c r="L18" s="26" t="n">
        <x:v>3</x:v>
      </x:c>
    </x:row>
    <x:row r="19">
      <x:c r="A19" s="26" t="str">
        <x:v>RM-018</x:v>
      </x:c>
      <x:c r="B19" s="26" t="str">
        <x:v>Phase 4: 91-180 Days</x:v>
      </x:c>
      <x:c r="C19" s="26" t="str">
        <x:v>Medium</x:v>
      </x:c>
      <x:c r="D19" s="26" t="str">
        <x:v>GV.OV</x:v>
      </x:c>
      <x:c r="E19" s="26" t="str">
        <x:v>Leadership risk dashboard</x:v>
      </x:c>
      <x:c r="F19" s="26" t="str">
        <x:v>Create a quarterly cybersecurity dashboard for top risks, remediation status, access review status, backup test results, and training completion.</x:v>
      </x:c>
      <x:c r="G19" s="26" t="str">
        <x:v>Cybersecurity Owner</x:v>
      </x:c>
      <x:c r="H19" s="26" t="str">
        <x:v>Low</x:v>
      </x:c>
      <x:c r="I19" s="26" t="str">
        <x:v>Not Started</x:v>
      </x:c>
      <x:c r="J19" s="26" t="str">
        <x:v>Roadmap and metrics started</x:v>
      </x:c>
      <x:c r="K19" s="26" t="str">
        <x:v>Improves leadership oversight and funding decisions.</x:v>
      </x:c>
      <x:c r="L19" s="26" t="n">
        <x:v>4</x:v>
      </x:c>
    </x:row>
    <x:row r="20">
      <x:c r="A20" s="26" t="str">
        <x:v>RM-019</x:v>
      </x:c>
      <x:c r="B20" s="26" t="str">
        <x:v>Phase 4: 91-180 Days</x:v>
      </x:c>
      <x:c r="C20" s="26" t="str">
        <x:v>Low</x:v>
      </x:c>
      <x:c r="D20" s="26" t="str">
        <x:v>DE.AE</x:v>
      </x:c>
      <x:c r="E20" s="26" t="str">
        <x:v>Security event log</x:v>
      </x:c>
      <x:c r="F20" s="26" t="str">
        <x:v>Maintain a lightweight log for suspicious emails, malware alerts, access concerns, and lessons learned.</x:v>
      </x:c>
      <x:c r="G20" s="26" t="str">
        <x:v>Cybersecurity Owner</x:v>
      </x:c>
      <x:c r="H20" s="26" t="str">
        <x:v>Low</x:v>
      </x:c>
      <x:c r="I20" s="26" t="str">
        <x:v>Not Started</x:v>
      </x:c>
      <x:c r="J20" s="26" t="str">
        <x:v>Alert review process</x:v>
      </x:c>
      <x:c r="K20" s="26" t="str">
        <x:v>Supports continuous improvement and trend tracking.</x:v>
      </x:c>
      <x:c r="L20" s="26" t="n">
        <x:v>2</x:v>
      </x:c>
    </x:row>
    <x:row r="21">
      <x:c r="A21" s="26" t="str">
        <x:v>RM-020</x:v>
      </x:c>
      <x:c r="B21" s="26" t="str">
        <x:v>Phase 4: 91-180 Days</x:v>
      </x:c>
      <x:c r="C21" s="26" t="str">
        <x:v>High</x:v>
      </x:c>
      <x:c r="D21" s="26" t="str">
        <x:v>PR.IR</x:v>
      </x:c>
      <x:c r="E21" s="26" t="str">
        <x:v>Recurring restore testing</x:v>
      </x:c>
      <x:c r="F21" s="26" t="str">
        <x:v>Set quarterly restore testing for critical shared storage and business systems.</x:v>
      </x:c>
      <x:c r="G21" s="26" t="str">
        <x:v>IT / Operations</x:v>
      </x:c>
      <x:c r="H21" s="26" t="str">
        <x:v>Low-Medium</x:v>
      </x:c>
      <x:c r="I21" s="26" t="str">
        <x:v>Not Started</x:v>
      </x:c>
      <x:c r="J21" s="26" t="str">
        <x:v>Initial restore test completed</x:v>
      </x:c>
      <x:c r="K21" s="26" t="str">
        <x:v>Builds ongoing recovery confidence.</x:v>
      </x:c>
      <x:c r="L21" s="26" t="n">
        <x:v>5</x:v>
      </x:c>
    </x:row>
  </x:sheetData>
  <x:conditionalFormatting sqref="C2:C200">
    <x:cfRule type="expression" dxfId="0" priority="1">
      <x:formula>C2="High"</x:formula>
    </x:cfRule>
    <x:cfRule type="expression" dxfId="1" priority="2">
      <x:formula>C2="Medium"</x:formula>
    </x:cfRule>
    <x:cfRule type="expression" dxfId="2" priority="3">
      <x:formula>C2="Low"</x:formula>
    </x:cfRule>
  </x:conditionalFormatting>
  <x:conditionalFormatting sqref="I2:I200">
    <x:cfRule type="expression" dxfId="3" priority="4">
      <x:formula>I2="Completed"</x:formula>
    </x:cfRule>
    <x:cfRule type="expression" dxfId="4" priority="5">
      <x:formula>I2="In Progress"</x:formula>
    </x:cfRule>
    <x:cfRule type="expression" dxfId="5" priority="6">
      <x:formula>I2="Blocked"</x:formula>
    </x:cfRule>
  </x:conditionalFormatting>
  <x:conditionalFormatting sqref="L2:L200">
    <x:cfRule type="dataBar" priority="7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{94768E51-D746-FAB4-6608-FE73798FCF5E}</x14:id>
        </x:ext>
      </x:extLst>
    </x:cfRule>
  </x:conditionalFormatting>
  <x:dataValidations count="4">
    <x:dataValidation type="list" sqref="C2:C200">
      <x:formula1>"High,Medium,Low"</x:formula1>
    </x:dataValidation>
    <x:dataValidation type="list" sqref="I2:I200">
      <x:formula1>"Not Started,In Progress,Blocked,Completed"</x:formula1>
    </x:dataValidation>
    <x:dataValidation type="list" sqref="H2:H200">
      <x:formula1>"Low,Low-Medium,Medium,High"</x:formula1>
    </x:dataValidation>
    <x:dataValidation type="list" sqref="L2:L200">
      <x:formula1>"1,2,3,4,5"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9d4f13146044b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7" id="{94768E51-D746-FAB4-6608-FE73798FCF5E}">
            <x14:dataBar gradient="1">
              <x14:cfvo type="min"/>
              <x14:cfvo type="max"/>
              <x14:fillColor rgb="FF5B9BD5"/>
            </x14:dataBar>
          </x14:cfRule>
          <xm:sqref>L2:L200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0" hidden="0" customWidth="1"/>
  </x:cols>
  <x:sheetData>
    <x:row r="1" ht="28" customHeight="1">
      <x:c r="A1" s="5" t="str">
        <x:v>Phased View</x:v>
      </x:c>
    </x:row>
    <x:row r="2">
      <x:c r="A2" s="13" t="str">
        <x:v>Grouped implementation roadmap for leadership discussion.</x:v>
      </x:c>
    </x:row>
    <x:row r="4">
      <x:c r="A4" s="22" t="str">
        <x:v>Phase 1: 0-30 Days</x:v>
      </x:c>
      <x:c r="B4" s="22" t="str">
        <x:v>Stabilize the basics: assign ownership, enforce MFA, document incident response, test backups, and build an asset inventory.</x:v>
      </x:c>
    </x:row>
    <x:row r="5">
      <x:c r="A5" s="26" t="str">
        <x:v>Phase 2: 31-60 Days</x:v>
      </x:c>
      <x:c r="B5" s="26" t="str">
        <x:v>Formalize access reviews, onboarding/offboarding, vendor review, core policies, and recovery priorities.</x:v>
      </x:c>
    </x:row>
    <x:row r="6">
      <x:c r="A6" s="26" t="str">
        <x:v>Phase 3: 61-90 Days</x:v>
      </x:c>
      <x:c r="B6" s="26" t="str">
        <x:v>Improve user awareness, endpoint reporting, patch reporting, alert review, and remediation tracking.</x:v>
      </x:c>
    </x:row>
    <x:row r="7">
      <x:c r="A7" s="26" t="str">
        <x:v>Phase 4: 91-180 Days</x:v>
      </x:c>
      <x:c r="B7" s="26" t="str">
        <x:v>Mature recovery communications, evidence handling, leadership reporting, lessons learned, and recurring restore testing.</x:v>
      </x:c>
    </x:row>
    <x:row r="10">
      <x:c r="A10" s="22" t="str">
        <x:v>Phase</x:v>
      </x:c>
      <x:c r="B10" s="22" t="str">
        <x:v>High Items</x:v>
      </x:c>
      <x:c r="C10" s="22" t="str">
        <x:v>Medium Items</x:v>
      </x:c>
      <x:c r="D10" s="22" t="str">
        <x:v>Low Items</x:v>
      </x:c>
      <x:c r="E10" s="22" t="str">
        <x:v>Total Items</x:v>
      </x:c>
      <x:c r="F10" s="22" t="str">
        <x:v>Avg Risk Reduction</x:v>
      </x:c>
    </x:row>
    <x:row r="11">
      <x:c r="A11" s="26" t="str">
        <x:v>Phase 1: 0-30 Days</x:v>
      </x:c>
      <x:c r="B11" s="26" t="n">
        <x:f>COUNTIFS('Remediation Roadmap'!B:B,A11,'Remediation Roadmap'!C:C,"High")</x:f>
        <x:v>5</x:v>
      </x:c>
      <x:c r="C11" s="26" t="n">
        <x:f>COUNTIFS('Remediation Roadmap'!B:B,A11,'Remediation Roadmap'!C:C,"Medium")</x:f>
        <x:v>0</x:v>
      </x:c>
      <x:c r="D11" s="26" t="n">
        <x:f>COUNTIFS('Remediation Roadmap'!B:B,A11,'Remediation Roadmap'!C:C,"Low")</x:f>
        <x:v>0</x:v>
      </x:c>
      <x:c r="E11" s="26" t="n">
        <x:f>COUNTIF('Remediation Roadmap'!B:B,A11)</x:f>
        <x:v>5</x:v>
      </x:c>
      <x:c r="F11" s="26" t="n">
        <x:f>IFERROR(ROUND(SUMIF('Remediation Roadmap'!B:B,A11,'Remediation Roadmap'!L:L)/E11,1),0)</x:f>
        <x:v>4.6</x:v>
      </x:c>
    </x:row>
    <x:row r="12">
      <x:c r="A12" s="26" t="str">
        <x:v>Phase 2: 31-60 Days</x:v>
      </x:c>
      <x:c r="B12" s="26" t="n">
        <x:f>COUNTIFS('Remediation Roadmap'!B:B,A12,'Remediation Roadmap'!C:C,"High")</x:f>
        <x:v>4</x:v>
      </x:c>
      <x:c r="C12" s="26" t="n">
        <x:f>COUNTIFS('Remediation Roadmap'!B:B,A12,'Remediation Roadmap'!C:C,"Medium")</x:f>
        <x:v>1</x:v>
      </x:c>
      <x:c r="D12" s="26" t="n">
        <x:f>COUNTIFS('Remediation Roadmap'!B:B,A12,'Remediation Roadmap'!C:C,"Low")</x:f>
        <x:v>0</x:v>
      </x:c>
      <x:c r="E12" s="26" t="n">
        <x:f>COUNTIF('Remediation Roadmap'!B:B,A12)</x:f>
        <x:v>5</x:v>
      </x:c>
      <x:c r="F12" s="26" t="n">
        <x:f>IFERROR(ROUND(SUMIF('Remediation Roadmap'!B:B,A12,'Remediation Roadmap'!L:L)/E12,1),0)</x:f>
        <x:v>4.2</x:v>
      </x:c>
    </x:row>
    <x:row r="13">
      <x:c r="A13" s="26" t="str">
        <x:v>Phase 3: 61-90 Days</x:v>
      </x:c>
      <x:c r="B13" s="26" t="n">
        <x:f>COUNTIFS('Remediation Roadmap'!B:B,A13,'Remediation Roadmap'!C:C,"High")</x:f>
        <x:v>0</x:v>
      </x:c>
      <x:c r="C13" s="26" t="n">
        <x:f>COUNTIFS('Remediation Roadmap'!B:B,A13,'Remediation Roadmap'!C:C,"Medium")</x:f>
        <x:v>5</x:v>
      </x:c>
      <x:c r="D13" s="26" t="n">
        <x:f>COUNTIFS('Remediation Roadmap'!B:B,A13,'Remediation Roadmap'!C:C,"Low")</x:f>
        <x:v>0</x:v>
      </x:c>
      <x:c r="E13" s="26" t="n">
        <x:f>COUNTIF('Remediation Roadmap'!B:B,A13)</x:f>
        <x:v>5</x:v>
      </x:c>
      <x:c r="F13" s="26" t="n">
        <x:f>IFERROR(ROUND(SUMIF('Remediation Roadmap'!B:B,A13,'Remediation Roadmap'!L:L)/E13,1),0)</x:f>
        <x:v>3.2</x:v>
      </x:c>
    </x:row>
    <x:row r="14">
      <x:c r="A14" s="26" t="str">
        <x:v>Phase 4: 91-180 Days</x:v>
      </x:c>
      <x:c r="B14" s="26" t="n">
        <x:f>COUNTIFS('Remediation Roadmap'!B:B,A14,'Remediation Roadmap'!C:C,"High")</x:f>
        <x:v>1</x:v>
      </x:c>
      <x:c r="C14" s="26" t="n">
        <x:f>COUNTIFS('Remediation Roadmap'!B:B,A14,'Remediation Roadmap'!C:C,"Medium")</x:f>
        <x:v>3</x:v>
      </x:c>
      <x:c r="D14" s="26" t="n">
        <x:f>COUNTIFS('Remediation Roadmap'!B:B,A14,'Remediation Roadmap'!C:C,"Low")</x:f>
        <x:v>1</x:v>
      </x:c>
      <x:c r="E14" s="26" t="n">
        <x:f>COUNTIF('Remediation Roadmap'!B:B,A14)</x:f>
        <x:v>5</x:v>
      </x:c>
      <x:c r="F14" s="26" t="n">
        <x:f>IFERROR(ROUND(SUMIF('Remediation Roadmap'!B:B,A14,'Remediation Roadmap'!L:L)/E14,1),0)</x:f>
        <x:v>3.4</x:v>
      </x:c>
    </x:row>
  </x:sheetData>
  <x:mergeCells>
    <x:mergeCell ref="A1:H1"/>
    <x:mergeCell ref="A2:L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24" hidden="0" customWidth="1"/>
    <x:col min="5" max="5" width="80" hidden="0" customWidth="1"/>
  </x:cols>
  <x:sheetData>
    <x:row r="1">
      <x:c r="A1" s="22" t="str">
        <x:v>Priority</x:v>
      </x:c>
      <x:c r="B1" s="22" t="str">
        <x:v>Status</x:v>
      </x:c>
      <x:c r="C1" s="22" t="str">
        <x:v>Cost / Effort</x:v>
      </x:c>
      <x:c r="D1" s="22" t="str">
        <x:v>Risk Reduction Score</x:v>
      </x:c>
      <x:c r="E1" s="22" t="str">
        <x:v>Source</x:v>
      </x:c>
    </x:row>
    <x:row r="2">
      <x:c r="A2" s="26" t="str">
        <x:v>High</x:v>
      </x:c>
      <x:c r="B2" s="26" t="str">
        <x:v>Not Started</x:v>
      </x:c>
      <x:c r="C2" s="26" t="str">
        <x:v>Low</x:v>
      </x:c>
      <x:c r="D2" s="26" t="str">
        <x:v>1 - Limited</x:v>
      </x:c>
      <x:c r="E2" s="26" t="str">
        <x:v>https://www.nist.gov/cyberframework</x:v>
      </x:c>
    </x:row>
    <x:row r="3">
      <x:c r="A3" s="26" t="str">
        <x:v>Medium</x:v>
      </x:c>
      <x:c r="B3" s="26" t="str">
        <x:v>In Progress</x:v>
      </x:c>
      <x:c r="C3" s="26" t="str">
        <x:v>Low-Medium</x:v>
      </x:c>
      <x:c r="D3" s="26" t="str">
        <x:v>2 - Low</x:v>
      </x:c>
      <x:c r="E3" s="26" t="str">
        <x:v>https://nvlpubs.nist.gov/nistpubs/CSWP/NIST.CSWP.29.pdf</x:v>
      </x:c>
    </x:row>
    <x:row r="4">
      <x:c r="A4" s="26" t="str">
        <x:v>Low</x:v>
      </x:c>
      <x:c r="B4" s="26" t="str">
        <x:v>Blocked</x:v>
      </x:c>
      <x:c r="C4" s="26" t="str">
        <x:v>Medium</x:v>
      </x:c>
      <x:c r="D4" s="26" t="str">
        <x:v>3 - Moderate</x:v>
      </x:c>
      <x:c r="E4" s="26"/>
    </x:row>
    <x:row r="5">
      <x:c r="A5" s="26"/>
      <x:c r="B5" s="26" t="str">
        <x:v>Completed</x:v>
      </x:c>
      <x:c r="C5" s="26" t="str">
        <x:v>High</x:v>
      </x:c>
      <x:c r="D5" s="26" t="str">
        <x:v>4 - Strong</x:v>
      </x:c>
      <x:c r="E5" s="26"/>
    </x:row>
    <x:row r="6">
      <x:c r="A6" s="26"/>
      <x:c r="B6" s="26"/>
      <x:c r="C6" s="26"/>
      <x:c r="D6" s="26" t="str">
        <x:v>5 - Major</x:v>
      </x:c>
      <x:c r="E6" s="26"/>
    </x:row>
  </x:sheetData>
  <x:pageMargins left="0.7" right="0.7" top="0.75" bottom="0.75" header="0.3" footer="0.3"/>
</x:worksheet>
</file>