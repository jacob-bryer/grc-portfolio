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e19e698f7b635ec/Desktop/"/>
    </mc:Choice>
  </mc:AlternateContent>
  <xr:revisionPtr revIDLastSave="7" documentId="11_C04D88F0FCC00D89AF67767E0290E9518BA709E8" xr6:coauthVersionLast="47" xr6:coauthVersionMax="47" xr10:uidLastSave="{5AFD2C02-C907-4DFC-987D-5D71384FF2BF}"/>
  <bookViews>
    <workbookView xWindow="-108" yWindow="-108" windowWidth="23256" windowHeight="12456" xr2:uid="{00000000-000D-0000-FFFF-FFFF00000000}"/>
  </bookViews>
  <sheets>
    <sheet name="Read Me" sheetId="1" r:id="rId1"/>
    <sheet name="Lookup" sheetId="2" r:id="rId2"/>
    <sheet name="Gap Analysis" sheetId="3" r:id="rId3"/>
    <sheet name="Findings Register" sheetId="4" r:id="rId4"/>
  </sheets>
  <definedNames>
    <definedName name="_xlnm._FilterDatabase" localSheetId="3" hidden="1">'Findings Register'!$A$1:$E$202</definedName>
    <definedName name="_xlnm._FilterDatabase" localSheetId="2" hidden="1">'Gap Analysis'!$A$1:$O$202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3" l="1"/>
  <c r="L14" i="3"/>
  <c r="L13" i="3"/>
  <c r="L12" i="3"/>
  <c r="L11" i="3"/>
  <c r="L10" i="3"/>
  <c r="L9" i="3"/>
  <c r="L8" i="3"/>
  <c r="L7" i="3"/>
  <c r="L6" i="3"/>
  <c r="L5" i="3"/>
  <c r="L4" i="3"/>
  <c r="L3" i="3"/>
  <c r="L2" i="3"/>
</calcChain>
</file>

<file path=xl/sharedStrings.xml><?xml version="1.0" encoding="utf-8"?>
<sst xmlns="http://schemas.openxmlformats.org/spreadsheetml/2006/main" count="256" uniqueCount="192">
  <si>
    <t>Midwest Precision Parts — NIST CSF Gap Assessment</t>
  </si>
  <si>
    <t>Cybersecurity Control Gap Analysis &amp; Maturity Review | Portfolio Project</t>
  </si>
  <si>
    <t>Scenario</t>
  </si>
  <si>
    <t>Midwest Precision Parts is a fictional small manufacturer that makes custom metal components for commercial customers. The company has about 85 employees and runs on a mix of office systems, production workstations, shared file storage, email, vendor portals, and a handful of cloud applications.
The company has grown fast, but nobody's ever sat down and formally reviewed its security program. Leadership is starting to worry about the obvious stuff — ransomware, production downtime, people having access they shouldn't, documentation that doesn't really exist, and whether they could actually recover if something went wrong.</t>
  </si>
  <si>
    <t>Objective</t>
  </si>
  <si>
    <t>I evaluated the company's current cybersecurity practices against the NIST Cybersecurity Framework to find the gaps that actually matter to the business, not just the ones that look bad on paper. The goal was to turn a framework review into something leadership could read, understand, and act on — not a 40-page report that gets filed away and forgotten.</t>
  </si>
  <si>
    <t>Scope</t>
  </si>
  <si>
    <t>This assessment covers:
• Identity and access management
• Asset inventory
• Data protection
• Endpoint security
• Email and phishing defenses
• Backup and recovery
• Incident response readiness
• Vendor and third-party risk
• Security awareness training
• Policies and procedures
Operational technology, industrial control systems, and physical plant equipment were out of scope.</t>
  </si>
  <si>
    <t>Assumptions</t>
  </si>
  <si>
    <t>• Findings are based on the fictional environment and stakeholder representations described above, not on technical testing.
• No vulnerability scanning or penetration testing was performed as part of this scenario.
• Current state reflects a single point in time and assumes no changes were made during the engagement.</t>
  </si>
  <si>
    <t>Methodology</t>
  </si>
  <si>
    <t>1. Review the business environment and assumptions
2. Compare current practices against NIST CSF categories
3. Identify gaps across governance, protection, detection, response, and recovery
4. Rate each gap by business impact and urgency
5. Recommend remediation steps that are realistic for a company this size
6. Organize the recommendations into a phased roadmap</t>
  </si>
  <si>
    <t>Key Risk Themes</t>
  </si>
  <si>
    <t>• Limited asset inventory
• Inconsistent user access reviews
• Backup processes that aren't regularly tested
• No formal incident response plan
• Limited phishing and security awareness training
• No documented vendor risk review process
• No clear ownership of cybersecurity responsibilities</t>
  </si>
  <si>
    <t>Disclaimer</t>
  </si>
  <si>
    <t>Midwest Precision Parts is a fictional company created for portfolio purposes. All findings, risks, and recommendations in this workbook are fictional and don't represent any real company or client.</t>
  </si>
  <si>
    <t>Functions</t>
  </si>
  <si>
    <t>Status</t>
  </si>
  <si>
    <t>Priority</t>
  </si>
  <si>
    <t>Maturity</t>
  </si>
  <si>
    <t>GOVERN</t>
  </si>
  <si>
    <t>Not in Place</t>
  </si>
  <si>
    <t>Low</t>
  </si>
  <si>
    <t>IDENTIFY</t>
  </si>
  <si>
    <t>Partially in Place</t>
  </si>
  <si>
    <t>Medium</t>
  </si>
  <si>
    <t>PROTECT</t>
  </si>
  <si>
    <t>Largely in Place</t>
  </si>
  <si>
    <t>High</t>
  </si>
  <si>
    <t>DETECT</t>
  </si>
  <si>
    <t>Critical</t>
  </si>
  <si>
    <t>RESPOND</t>
  </si>
  <si>
    <t>RECOVER</t>
  </si>
  <si>
    <t>Gap ID</t>
  </si>
  <si>
    <t>Function</t>
  </si>
  <si>
    <t>Category Code</t>
  </si>
  <si>
    <t>Category Name</t>
  </si>
  <si>
    <t>Subcategory ID</t>
  </si>
  <si>
    <t>Subcategory (Plain Language)</t>
  </si>
  <si>
    <t>Current State</t>
  </si>
  <si>
    <t>Gap Identified</t>
  </si>
  <si>
    <t>Current Maturity</t>
  </si>
  <si>
    <t>Target Maturity</t>
  </si>
  <si>
    <t>Gap Score</t>
  </si>
  <si>
    <t>Quick Recommendation</t>
  </si>
  <si>
    <t>Owner</t>
  </si>
  <si>
    <t>GAP-01</t>
  </si>
  <si>
    <t>GV.RR</t>
  </si>
  <si>
    <t>Roles &amp; Responsibilities</t>
  </si>
  <si>
    <t>GV.RR-01</t>
  </si>
  <si>
    <t>Clear cyber owner is designated</t>
  </si>
  <si>
    <t>No clear ownership of cybersecurity responsibilities.</t>
  </si>
  <si>
    <t>Accountability is missing; security falls between HR, Ops, and IT.</t>
  </si>
  <si>
    <t>Formally assign a cybersecurity lead.</t>
  </si>
  <si>
    <t>Leadership</t>
  </si>
  <si>
    <t>GAP-02</t>
  </si>
  <si>
    <t>GV.SC</t>
  </si>
  <si>
    <t>Supply Chain Risk</t>
  </si>
  <si>
    <t>GV.SC-01</t>
  </si>
  <si>
    <t>Vendors evaluated for risk</t>
  </si>
  <si>
    <t>No documented vendor risk review process.</t>
  </si>
  <si>
    <t>Cloud apps and vendors are onboarded with no security baseline check.</t>
  </si>
  <si>
    <t>Implement a simple vendor questionnaire.</t>
  </si>
  <si>
    <t>Finance/Ops</t>
  </si>
  <si>
    <t>GAP-03</t>
  </si>
  <si>
    <t>GV.PO</t>
  </si>
  <si>
    <t>Policy</t>
  </si>
  <si>
    <t>GV.PO-01</t>
  </si>
  <si>
    <t>Policies established</t>
  </si>
  <si>
    <t>Policies and procedures are completely missing or severely outdated.</t>
  </si>
  <si>
    <t>Employees lack formal rules for acceptable use and data handling.</t>
  </si>
  <si>
    <t>Draft foundational security policies.</t>
  </si>
  <si>
    <t>HR</t>
  </si>
  <si>
    <t>GAP-04</t>
  </si>
  <si>
    <t>ID.AM</t>
  </si>
  <si>
    <t>Asset Management</t>
  </si>
  <si>
    <t>ID.AM-01</t>
  </si>
  <si>
    <t>Hardware inventory</t>
  </si>
  <si>
    <t>Limited hardware asset inventory.</t>
  </si>
  <si>
    <t>Company cannot protect assets it doesn't know exist.</t>
  </si>
  <si>
    <t>Deploy network discovery agent.</t>
  </si>
  <si>
    <t>IT</t>
  </si>
  <si>
    <t>GAP-05</t>
  </si>
  <si>
    <t>ID.AM-02</t>
  </si>
  <si>
    <t>Software inventory</t>
  </si>
  <si>
    <t>Limited software asset inventory.</t>
  </si>
  <si>
    <t>Shadow IT and unapproved SaaS applications are untracked.</t>
  </si>
  <si>
    <t>Catalog approved software baseline.</t>
  </si>
  <si>
    <t>GAP-06</t>
  </si>
  <si>
    <t>PR.AA</t>
  </si>
  <si>
    <t>Identity &amp; Access</t>
  </si>
  <si>
    <t>PR.AA-01</t>
  </si>
  <si>
    <t>MFA and strong auth</t>
  </si>
  <si>
    <t>MFA is not enforced across all platforms.</t>
  </si>
  <si>
    <t>High risk of email compromise and unauthorized remote access.</t>
  </si>
  <si>
    <t>Enforce MFA tenant-wide.</t>
  </si>
  <si>
    <t>GAP-07</t>
  </si>
  <si>
    <t>PR.AA-05</t>
  </si>
  <si>
    <t>Access permissions reviewed</t>
  </si>
  <si>
    <t>Inconsistent user access reviews.</t>
  </si>
  <si>
    <t>Terminated employees and role-changers retain stale access.</t>
  </si>
  <si>
    <t>Start quarterly access reviews.</t>
  </si>
  <si>
    <t>HR/IT</t>
  </si>
  <si>
    <t>GAP-08</t>
  </si>
  <si>
    <t>PR.AT</t>
  </si>
  <si>
    <t>Awareness Training</t>
  </si>
  <si>
    <t>PR.AT-01</t>
  </si>
  <si>
    <t>Security training provided</t>
  </si>
  <si>
    <t>Limited phishing and security awareness training.</t>
  </si>
  <si>
    <t>Staff remain highly susceptible to social engineering.</t>
  </si>
  <si>
    <t>Deploy managed awareness training.</t>
  </si>
  <si>
    <t>GAP-09</t>
  </si>
  <si>
    <t>PR.DS</t>
  </si>
  <si>
    <t>Data Security</t>
  </si>
  <si>
    <t>PR.DS-01</t>
  </si>
  <si>
    <t>Data protected at rest</t>
  </si>
  <si>
    <t>Laptops and servers lack consistent encryption.</t>
  </si>
  <si>
    <t>Theft of physical devices exposes sensitive manufacturing designs.</t>
  </si>
  <si>
    <t>Enable BitLocker on all endpoints.</t>
  </si>
  <si>
    <t>GAP-10</t>
  </si>
  <si>
    <t>PR.DS-11</t>
  </si>
  <si>
    <t>Backups are tested</t>
  </si>
  <si>
    <t>Backup processes aren't regularly tested.</t>
  </si>
  <si>
    <t>High risk of prolonged downtime if a restore fails during a ransomware event.</t>
  </si>
  <si>
    <t>Conduct a full sandbox restore test.</t>
  </si>
  <si>
    <t>GAP-11</t>
  </si>
  <si>
    <t>DE.AE</t>
  </si>
  <si>
    <t>Adverse Event Analysis</t>
  </si>
  <si>
    <t>DE.AE-01</t>
  </si>
  <si>
    <t>Endpoints monitored</t>
  </si>
  <si>
    <t>Relying on standard, consumer-grade antivirus.</t>
  </si>
  <si>
    <t>Advanced threats and lateral movement remain completely undetected.</t>
  </si>
  <si>
    <t>Deploy an EDR solution.</t>
  </si>
  <si>
    <t>GAP-12</t>
  </si>
  <si>
    <t>DE.CM</t>
  </si>
  <si>
    <t>Continuous Monitoring</t>
  </si>
  <si>
    <t>DE.CM-01</t>
  </si>
  <si>
    <t>Centralized logging</t>
  </si>
  <si>
    <t>No central system logs are collected or reviewed.</t>
  </si>
  <si>
    <t>Forensic investigation during a breach is impossible.</t>
  </si>
  <si>
    <t>Set up a basic syslog server.</t>
  </si>
  <si>
    <t>GAP-13</t>
  </si>
  <si>
    <t>RS.MA</t>
  </si>
  <si>
    <t>Incident Management</t>
  </si>
  <si>
    <t>RS.MA-01</t>
  </si>
  <si>
    <t>Incident response plan</t>
  </si>
  <si>
    <t>No formal incident response plan.</t>
  </si>
  <si>
    <t>Containment and recovery will be delayed and uncoordinated.</t>
  </si>
  <si>
    <t>Draft an IRP with emergency contacts.</t>
  </si>
  <si>
    <t>Ops/IT</t>
  </si>
  <si>
    <t>GAP-14</t>
  </si>
  <si>
    <t>RC.RP</t>
  </si>
  <si>
    <t>Recovery Planning</t>
  </si>
  <si>
    <t>RC.RP-01</t>
  </si>
  <si>
    <t>Recovery plan executed</t>
  </si>
  <si>
    <t>No documented disaster recovery playbooks.</t>
  </si>
  <si>
    <t>Recovery relies entirely on the memory of individual IT staff.</t>
  </si>
  <si>
    <t>Document core recovery steps.</t>
  </si>
  <si>
    <t>Theme ID</t>
  </si>
  <si>
    <t>Risk Theme</t>
  </si>
  <si>
    <t>Related Gaps</t>
  </si>
  <si>
    <t>Business Impact Statement</t>
  </si>
  <si>
    <t>Strategic Remediation Track</t>
  </si>
  <si>
    <t>T-01</t>
  </si>
  <si>
    <t>Limited asset inventory</t>
  </si>
  <si>
    <t>GAP-04, GAP-05</t>
  </si>
  <si>
    <t>The business cannot secure devices or software it doesn't know exist, leaving blind spots for unpatched vulnerabilities and shadow IT.</t>
  </si>
  <si>
    <t>Deploy automated network discovery agents and establish a baseline software catalog.</t>
  </si>
  <si>
    <t>T-02</t>
  </si>
  <si>
    <t>Inconsistent user access reviews</t>
  </si>
  <si>
    <t>Stale permissions remain active for terminated employees and contractors, increasing the risk of unauthorized access or insider threats.</t>
  </si>
  <si>
    <t>Implement a mandatory quarterly audit of user privileges across critical directories.</t>
  </si>
  <si>
    <t>T-03</t>
  </si>
  <si>
    <t>Backup processes that aren't regularly tested</t>
  </si>
  <si>
    <t>Without validated restore tests, the company faces severe risks of irrecoverable data loss and prolonged downtime following a ransomware attack.</t>
  </si>
  <si>
    <t>Perform monthly sandboxed bare-metal restore tests from the latest backup volumes.</t>
  </si>
  <si>
    <t>T-04</t>
  </si>
  <si>
    <t>No formal incident response plan</t>
  </si>
  <si>
    <t>When a breach occurs, response efforts will be chaotic, slowing containment and severely increasing operational and financial damage.</t>
  </si>
  <si>
    <t>Draft a formalized Incident Response Plan (IRP) with designated external contacts.</t>
  </si>
  <si>
    <t>T-05</t>
  </si>
  <si>
    <t>Limited phishing and security awareness training</t>
  </si>
  <si>
    <t>Employees serve as the weakest link, leaving the organization highly vulnerable to credential theft via social engineering.</t>
  </si>
  <si>
    <t>Procure and mandate an automated, recurring phishing and awareness training platform.</t>
  </si>
  <si>
    <t>T-06</t>
  </si>
  <si>
    <t>No documented vendor risk review process</t>
  </si>
  <si>
    <t>Third-party applications holding sensitive data are integrated into the business without security vetting, inheriting unknown external risks.</t>
  </si>
  <si>
    <t>Create a standardized, lightweight security questionnaire for all new vendors.</t>
  </si>
  <si>
    <t>T-07</t>
  </si>
  <si>
    <t>No clear ownership of cybersecurity responsibilities</t>
  </si>
  <si>
    <t>Security projects are orphaned and compliance drifts because no single executive or director is held accountable for the cyber posture.</t>
  </si>
  <si>
    <t>Formally appoint an internal cybersecurity owner to lead strategic 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</si>
</sst>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B365D"/>
      <name val="Calibri"/>
    </font>
    <font>
      <i/>
      <sz val="11"/>
      <color rgb="FF555555"/>
      <name val="Calibri"/>
    </font>
    <font>
      <b/>
      <sz val="13"/>
      <color rgb="FF1B365D"/>
      <name val="Calibri"/>
    </font>
    <font>
      <sz val="11"/>
      <name val="Calibri"/>
    </font>
    <font>
      <b/>
      <sz val="11"/>
      <color rgb="FFFFFFFF"/>
      <name val="Calibri"/>
    </font>
  </fonts>
  <fills count="3">
    <fill>
      <patternFill patternType="none"/>
    </fill>
    <fill>
      <patternFill patternType="gray125"/>
    </fill>
    <fill>
      <patternFill patternType="solid">
        <fgColor rgb="FF1B365D"/>
        <bgColor rgb="FF1B365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cellXfs>
  <cellStyles count="1">
    <cellStyle name="Normal" xfId="0" builtinId="0"/>
  </cellStyles>
  <dxfs count="6">
    <dxf>
      <font>
        <b/>
        <color rgb="FFFFFFFF"/>
      </font>
      <fill>
        <patternFill patternType="solid">
          <fgColor rgb="FF5BC0DE"/>
          <bgColor rgb="FF5BC0DE"/>
        </patternFill>
      </fill>
    </dxf>
    <dxf>
      <font>
        <b/>
        <color rgb="FFFFFFFF"/>
      </font>
      <fill>
        <patternFill patternType="solid">
          <fgColor rgb="FF5CB85C"/>
          <bgColor rgb="FF5CB85C"/>
        </patternFill>
      </fill>
    </dxf>
    <dxf>
      <font>
        <b/>
        <color rgb="FFFFFFFF"/>
      </font>
      <fill>
        <patternFill patternType="solid">
          <fgColor rgb="FFF0AD4E"/>
          <bgColor rgb="FFF0AD4E"/>
        </patternFill>
      </fill>
    </dxf>
    <dxf>
      <font>
        <b/>
        <color rgb="FFFFFFFF"/>
      </font>
      <fill>
        <patternFill patternType="solid">
          <fgColor rgb="FFD9534F"/>
          <bgColor rgb="FFD9534F"/>
        </patternFill>
      </fill>
    </dxf>
    <dxf>
      <font>
        <b/>
        <color rgb="FFFFFFFF"/>
      </font>
      <fill>
        <patternFill patternType="solid">
          <fgColor rgb="FF5C2D91"/>
          <bgColor rgb="FF5C2D91"/>
        </patternFill>
      </fill>
    </dxf>
    <dxf>
      <font>
        <b/>
        <color rgb="FFFFFFFF"/>
      </font>
      <fill>
        <patternFill patternType="solid">
          <fgColor rgb="FF1F4E79"/>
          <bgColor rgb="FF1F4E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3"/>
  <sheetViews>
    <sheetView showGridLines="0" tabSelected="1" workbookViewId="0">
      <selection activeCell="B5" sqref="B5"/>
    </sheetView>
  </sheetViews>
  <sheetFormatPr defaultRowHeight="14.4" x14ac:dyDescent="0.3"/>
  <cols>
    <col min="2" max="2" width="120" customWidth="1"/>
  </cols>
  <sheetData>
    <row r="1" spans="2:2" ht="21" x14ac:dyDescent="0.4">
      <c r="B1" s="1" t="s">
        <v>0</v>
      </c>
    </row>
    <row r="2" spans="2:2" x14ac:dyDescent="0.3">
      <c r="B2" s="2" t="s">
        <v>1</v>
      </c>
    </row>
    <row r="4" spans="2:2" ht="17.399999999999999" x14ac:dyDescent="0.35">
      <c r="B4" s="3" t="s">
        <v>2</v>
      </c>
    </row>
    <row r="5" spans="2:2" ht="120" customHeight="1" x14ac:dyDescent="0.3">
      <c r="B5" s="4" t="s">
        <v>3</v>
      </c>
    </row>
    <row r="7" spans="2:2" ht="17.399999999999999" x14ac:dyDescent="0.35">
      <c r="B7" s="3" t="s">
        <v>4</v>
      </c>
    </row>
    <row r="8" spans="2:2" ht="45" customHeight="1" x14ac:dyDescent="0.3">
      <c r="B8" s="4" t="s">
        <v>5</v>
      </c>
    </row>
    <row r="10" spans="2:2" ht="17.399999999999999" x14ac:dyDescent="0.35">
      <c r="B10" s="3" t="s">
        <v>6</v>
      </c>
    </row>
    <row r="11" spans="2:2" ht="240" customHeight="1" x14ac:dyDescent="0.3">
      <c r="B11" s="4" t="s">
        <v>7</v>
      </c>
    </row>
    <row r="13" spans="2:2" ht="17.399999999999999" x14ac:dyDescent="0.35">
      <c r="B13" s="3" t="s">
        <v>8</v>
      </c>
    </row>
    <row r="14" spans="2:2" ht="75" customHeight="1" x14ac:dyDescent="0.3">
      <c r="B14" s="4" t="s">
        <v>9</v>
      </c>
    </row>
    <row r="16" spans="2:2" ht="17.399999999999999" x14ac:dyDescent="0.35">
      <c r="B16" s="3" t="s">
        <v>10</v>
      </c>
    </row>
    <row r="17" spans="2:2" ht="135" customHeight="1" x14ac:dyDescent="0.3">
      <c r="B17" s="4" t="s">
        <v>11</v>
      </c>
    </row>
    <row r="19" spans="2:2" ht="17.399999999999999" x14ac:dyDescent="0.35">
      <c r="B19" s="3" t="s">
        <v>12</v>
      </c>
    </row>
    <row r="20" spans="2:2" ht="135" customHeight="1" x14ac:dyDescent="0.3">
      <c r="B20" s="4" t="s">
        <v>13</v>
      </c>
    </row>
    <row r="22" spans="2:2" ht="17.399999999999999" x14ac:dyDescent="0.35">
      <c r="B22" s="3" t="s">
        <v>14</v>
      </c>
    </row>
    <row r="23" spans="2:2" ht="30" customHeight="1" x14ac:dyDescent="0.3">
      <c r="B23" s="4"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defaultRowHeight="14.4" x14ac:dyDescent="0.3"/>
  <sheetData>
    <row r="1" spans="1:4" x14ac:dyDescent="0.3">
      <c r="A1" t="s">
        <v>16</v>
      </c>
      <c r="B1" t="s">
        <v>17</v>
      </c>
      <c r="C1" t="s">
        <v>18</v>
      </c>
      <c r="D1" t="s">
        <v>19</v>
      </c>
    </row>
    <row r="2" spans="1:4" x14ac:dyDescent="0.3">
      <c r="A2" t="s">
        <v>20</v>
      </c>
      <c r="B2" t="s">
        <v>21</v>
      </c>
      <c r="C2" t="s">
        <v>22</v>
      </c>
      <c r="D2">
        <v>1</v>
      </c>
    </row>
    <row r="3" spans="1:4" x14ac:dyDescent="0.3">
      <c r="A3" t="s">
        <v>23</v>
      </c>
      <c r="B3" t="s">
        <v>24</v>
      </c>
      <c r="C3" t="s">
        <v>25</v>
      </c>
      <c r="D3">
        <v>2</v>
      </c>
    </row>
    <row r="4" spans="1:4" x14ac:dyDescent="0.3">
      <c r="A4" t="s">
        <v>26</v>
      </c>
      <c r="B4" t="s">
        <v>27</v>
      </c>
      <c r="C4" t="s">
        <v>28</v>
      </c>
      <c r="D4">
        <v>3</v>
      </c>
    </row>
    <row r="5" spans="1:4" x14ac:dyDescent="0.3">
      <c r="A5" t="s">
        <v>29</v>
      </c>
      <c r="C5" t="s">
        <v>30</v>
      </c>
      <c r="D5">
        <v>4</v>
      </c>
    </row>
    <row r="6" spans="1:4" x14ac:dyDescent="0.3">
      <c r="A6" t="s">
        <v>31</v>
      </c>
      <c r="D6">
        <v>5</v>
      </c>
    </row>
    <row r="7" spans="1:4" x14ac:dyDescent="0.3">
      <c r="A7"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5"/>
  <sheetViews>
    <sheetView workbookViewId="0">
      <pane ySplit="1" topLeftCell="A2" activePane="bottomLeft" state="frozen"/>
      <selection pane="bottomLeft" sqref="A1:XFD1"/>
    </sheetView>
  </sheetViews>
  <sheetFormatPr defaultRowHeight="14.4" x14ac:dyDescent="0.3"/>
  <cols>
    <col min="2" max="2" width="28" customWidth="1"/>
    <col min="4" max="4" width="28" customWidth="1"/>
    <col min="6" max="8" width="28" customWidth="1"/>
    <col min="9" max="9" width="16" customWidth="1"/>
    <col min="13" max="13" width="16" customWidth="1"/>
    <col min="14" max="14" width="28" customWidth="1"/>
  </cols>
  <sheetData>
    <row r="1" spans="1:15" ht="30" customHeight="1" x14ac:dyDescent="0.3">
      <c r="A1" s="5" t="s">
        <v>33</v>
      </c>
      <c r="B1" s="5" t="s">
        <v>34</v>
      </c>
      <c r="C1" s="5" t="s">
        <v>35</v>
      </c>
      <c r="D1" s="5" t="s">
        <v>36</v>
      </c>
      <c r="E1" s="5" t="s">
        <v>37</v>
      </c>
      <c r="F1" s="5" t="s">
        <v>38</v>
      </c>
      <c r="G1" s="5" t="s">
        <v>39</v>
      </c>
      <c r="H1" s="5" t="s">
        <v>40</v>
      </c>
      <c r="I1" s="5" t="s">
        <v>17</v>
      </c>
      <c r="J1" s="5" t="s">
        <v>41</v>
      </c>
      <c r="K1" s="5" t="s">
        <v>42</v>
      </c>
      <c r="L1" s="5" t="s">
        <v>43</v>
      </c>
      <c r="M1" s="5" t="s">
        <v>18</v>
      </c>
      <c r="N1" s="5" t="s">
        <v>44</v>
      </c>
      <c r="O1" s="5" t="s">
        <v>45</v>
      </c>
    </row>
    <row r="2" spans="1:15" ht="43.2" x14ac:dyDescent="0.3">
      <c r="A2" s="6" t="s">
        <v>46</v>
      </c>
      <c r="B2" s="6" t="s">
        <v>20</v>
      </c>
      <c r="C2" s="6" t="s">
        <v>47</v>
      </c>
      <c r="D2" s="7" t="s">
        <v>48</v>
      </c>
      <c r="E2" s="6" t="s">
        <v>49</v>
      </c>
      <c r="F2" s="7" t="s">
        <v>50</v>
      </c>
      <c r="G2" s="7" t="s">
        <v>51</v>
      </c>
      <c r="H2" s="7" t="s">
        <v>52</v>
      </c>
      <c r="I2" s="6" t="s">
        <v>21</v>
      </c>
      <c r="J2" s="6">
        <v>1</v>
      </c>
      <c r="K2" s="6">
        <v>4</v>
      </c>
      <c r="L2" s="6">
        <f t="shared" ref="L2:L15" si="0">K2-J2</f>
        <v>3</v>
      </c>
      <c r="M2" s="6" t="s">
        <v>28</v>
      </c>
      <c r="N2" s="7" t="s">
        <v>53</v>
      </c>
      <c r="O2" s="7" t="s">
        <v>54</v>
      </c>
    </row>
    <row r="3" spans="1:15" ht="43.2" x14ac:dyDescent="0.3">
      <c r="A3" s="6" t="s">
        <v>55</v>
      </c>
      <c r="B3" s="6" t="s">
        <v>20</v>
      </c>
      <c r="C3" s="6" t="s">
        <v>56</v>
      </c>
      <c r="D3" s="7" t="s">
        <v>57</v>
      </c>
      <c r="E3" s="6" t="s">
        <v>58</v>
      </c>
      <c r="F3" s="7" t="s">
        <v>59</v>
      </c>
      <c r="G3" s="7" t="s">
        <v>60</v>
      </c>
      <c r="H3" s="7" t="s">
        <v>61</v>
      </c>
      <c r="I3" s="6" t="s">
        <v>21</v>
      </c>
      <c r="J3" s="6">
        <v>1</v>
      </c>
      <c r="K3" s="6">
        <v>3</v>
      </c>
      <c r="L3" s="6">
        <f t="shared" si="0"/>
        <v>2</v>
      </c>
      <c r="M3" s="6" t="s">
        <v>25</v>
      </c>
      <c r="N3" s="7" t="s">
        <v>62</v>
      </c>
      <c r="O3" s="7" t="s">
        <v>63</v>
      </c>
    </row>
    <row r="4" spans="1:15" ht="43.2" x14ac:dyDescent="0.3">
      <c r="A4" s="6" t="s">
        <v>64</v>
      </c>
      <c r="B4" s="6" t="s">
        <v>20</v>
      </c>
      <c r="C4" s="6" t="s">
        <v>65</v>
      </c>
      <c r="D4" s="7" t="s">
        <v>66</v>
      </c>
      <c r="E4" s="6" t="s">
        <v>67</v>
      </c>
      <c r="F4" s="7" t="s">
        <v>68</v>
      </c>
      <c r="G4" s="7" t="s">
        <v>69</v>
      </c>
      <c r="H4" s="7" t="s">
        <v>70</v>
      </c>
      <c r="I4" s="6" t="s">
        <v>21</v>
      </c>
      <c r="J4" s="6">
        <v>1</v>
      </c>
      <c r="K4" s="6">
        <v>3</v>
      </c>
      <c r="L4" s="6">
        <f t="shared" si="0"/>
        <v>2</v>
      </c>
      <c r="M4" s="6" t="s">
        <v>25</v>
      </c>
      <c r="N4" s="7" t="s">
        <v>71</v>
      </c>
      <c r="O4" s="7" t="s">
        <v>72</v>
      </c>
    </row>
    <row r="5" spans="1:15" ht="28.8" x14ac:dyDescent="0.3">
      <c r="A5" s="6" t="s">
        <v>73</v>
      </c>
      <c r="B5" s="6" t="s">
        <v>23</v>
      </c>
      <c r="C5" s="6" t="s">
        <v>74</v>
      </c>
      <c r="D5" s="7" t="s">
        <v>75</v>
      </c>
      <c r="E5" s="6" t="s">
        <v>76</v>
      </c>
      <c r="F5" s="7" t="s">
        <v>77</v>
      </c>
      <c r="G5" s="7" t="s">
        <v>78</v>
      </c>
      <c r="H5" s="7" t="s">
        <v>79</v>
      </c>
      <c r="I5" s="6" t="s">
        <v>21</v>
      </c>
      <c r="J5" s="6">
        <v>1</v>
      </c>
      <c r="K5" s="6">
        <v>4</v>
      </c>
      <c r="L5" s="6">
        <f t="shared" si="0"/>
        <v>3</v>
      </c>
      <c r="M5" s="6" t="s">
        <v>28</v>
      </c>
      <c r="N5" s="7" t="s">
        <v>80</v>
      </c>
      <c r="O5" s="7" t="s">
        <v>81</v>
      </c>
    </row>
    <row r="6" spans="1:15" ht="28.8" x14ac:dyDescent="0.3">
      <c r="A6" s="6" t="s">
        <v>82</v>
      </c>
      <c r="B6" s="6" t="s">
        <v>23</v>
      </c>
      <c r="C6" s="6" t="s">
        <v>74</v>
      </c>
      <c r="D6" s="7" t="s">
        <v>75</v>
      </c>
      <c r="E6" s="6" t="s">
        <v>83</v>
      </c>
      <c r="F6" s="7" t="s">
        <v>84</v>
      </c>
      <c r="G6" s="7" t="s">
        <v>85</v>
      </c>
      <c r="H6" s="7" t="s">
        <v>86</v>
      </c>
      <c r="I6" s="6" t="s">
        <v>24</v>
      </c>
      <c r="J6" s="6">
        <v>2</v>
      </c>
      <c r="K6" s="6">
        <v>4</v>
      </c>
      <c r="L6" s="6">
        <f t="shared" si="0"/>
        <v>2</v>
      </c>
      <c r="M6" s="6" t="s">
        <v>25</v>
      </c>
      <c r="N6" s="7" t="s">
        <v>87</v>
      </c>
      <c r="O6" s="7" t="s">
        <v>81</v>
      </c>
    </row>
    <row r="7" spans="1:15" ht="43.2" x14ac:dyDescent="0.3">
      <c r="A7" s="6" t="s">
        <v>88</v>
      </c>
      <c r="B7" s="6" t="s">
        <v>26</v>
      </c>
      <c r="C7" s="6" t="s">
        <v>89</v>
      </c>
      <c r="D7" s="7" t="s">
        <v>90</v>
      </c>
      <c r="E7" s="6" t="s">
        <v>91</v>
      </c>
      <c r="F7" s="7" t="s">
        <v>92</v>
      </c>
      <c r="G7" s="7" t="s">
        <v>93</v>
      </c>
      <c r="H7" s="7" t="s">
        <v>94</v>
      </c>
      <c r="I7" s="6" t="s">
        <v>24</v>
      </c>
      <c r="J7" s="6">
        <v>2</v>
      </c>
      <c r="K7" s="6">
        <v>5</v>
      </c>
      <c r="L7" s="6">
        <f t="shared" si="0"/>
        <v>3</v>
      </c>
      <c r="M7" s="6" t="s">
        <v>30</v>
      </c>
      <c r="N7" s="7" t="s">
        <v>95</v>
      </c>
      <c r="O7" s="7" t="s">
        <v>81</v>
      </c>
    </row>
    <row r="8" spans="1:15" ht="28.8" x14ac:dyDescent="0.3">
      <c r="A8" s="6" t="s">
        <v>96</v>
      </c>
      <c r="B8" s="6" t="s">
        <v>26</v>
      </c>
      <c r="C8" s="6" t="s">
        <v>89</v>
      </c>
      <c r="D8" s="7" t="s">
        <v>90</v>
      </c>
      <c r="E8" s="6" t="s">
        <v>97</v>
      </c>
      <c r="F8" s="7" t="s">
        <v>98</v>
      </c>
      <c r="G8" s="7" t="s">
        <v>99</v>
      </c>
      <c r="H8" s="7" t="s">
        <v>100</v>
      </c>
      <c r="I8" s="6" t="s">
        <v>21</v>
      </c>
      <c r="J8" s="6">
        <v>1</v>
      </c>
      <c r="K8" s="6">
        <v>3</v>
      </c>
      <c r="L8" s="6">
        <f t="shared" si="0"/>
        <v>2</v>
      </c>
      <c r="M8" s="6" t="s">
        <v>28</v>
      </c>
      <c r="N8" s="7" t="s">
        <v>101</v>
      </c>
      <c r="O8" s="7" t="s">
        <v>102</v>
      </c>
    </row>
    <row r="9" spans="1:15" ht="28.8" x14ac:dyDescent="0.3">
      <c r="A9" s="6" t="s">
        <v>103</v>
      </c>
      <c r="B9" s="6" t="s">
        <v>26</v>
      </c>
      <c r="C9" s="6" t="s">
        <v>104</v>
      </c>
      <c r="D9" s="7" t="s">
        <v>105</v>
      </c>
      <c r="E9" s="6" t="s">
        <v>106</v>
      </c>
      <c r="F9" s="7" t="s">
        <v>107</v>
      </c>
      <c r="G9" s="7" t="s">
        <v>108</v>
      </c>
      <c r="H9" s="7" t="s">
        <v>109</v>
      </c>
      <c r="I9" s="6" t="s">
        <v>21</v>
      </c>
      <c r="J9" s="6">
        <v>1</v>
      </c>
      <c r="K9" s="6">
        <v>4</v>
      </c>
      <c r="L9" s="6">
        <f t="shared" si="0"/>
        <v>3</v>
      </c>
      <c r="M9" s="6" t="s">
        <v>28</v>
      </c>
      <c r="N9" s="7" t="s">
        <v>110</v>
      </c>
      <c r="O9" s="7" t="s">
        <v>72</v>
      </c>
    </row>
    <row r="10" spans="1:15" ht="43.2" x14ac:dyDescent="0.3">
      <c r="A10" s="6" t="s">
        <v>111</v>
      </c>
      <c r="B10" s="6" t="s">
        <v>26</v>
      </c>
      <c r="C10" s="6" t="s">
        <v>112</v>
      </c>
      <c r="D10" s="7" t="s">
        <v>113</v>
      </c>
      <c r="E10" s="6" t="s">
        <v>114</v>
      </c>
      <c r="F10" s="7" t="s">
        <v>115</v>
      </c>
      <c r="G10" s="7" t="s">
        <v>116</v>
      </c>
      <c r="H10" s="7" t="s">
        <v>117</v>
      </c>
      <c r="I10" s="6" t="s">
        <v>24</v>
      </c>
      <c r="J10" s="6">
        <v>2</v>
      </c>
      <c r="K10" s="6">
        <v>4</v>
      </c>
      <c r="L10" s="6">
        <f t="shared" si="0"/>
        <v>2</v>
      </c>
      <c r="M10" s="6" t="s">
        <v>25</v>
      </c>
      <c r="N10" s="7" t="s">
        <v>118</v>
      </c>
      <c r="O10" s="7" t="s">
        <v>81</v>
      </c>
    </row>
    <row r="11" spans="1:15" ht="43.2" x14ac:dyDescent="0.3">
      <c r="A11" s="6" t="s">
        <v>119</v>
      </c>
      <c r="B11" s="6" t="s">
        <v>26</v>
      </c>
      <c r="C11" s="6" t="s">
        <v>112</v>
      </c>
      <c r="D11" s="7" t="s">
        <v>113</v>
      </c>
      <c r="E11" s="6" t="s">
        <v>120</v>
      </c>
      <c r="F11" s="7" t="s">
        <v>121</v>
      </c>
      <c r="G11" s="7" t="s">
        <v>122</v>
      </c>
      <c r="H11" s="7" t="s">
        <v>123</v>
      </c>
      <c r="I11" s="6" t="s">
        <v>24</v>
      </c>
      <c r="J11" s="6">
        <v>2</v>
      </c>
      <c r="K11" s="6">
        <v>5</v>
      </c>
      <c r="L11" s="6">
        <f t="shared" si="0"/>
        <v>3</v>
      </c>
      <c r="M11" s="6" t="s">
        <v>30</v>
      </c>
      <c r="N11" s="7" t="s">
        <v>124</v>
      </c>
      <c r="O11" s="7" t="s">
        <v>81</v>
      </c>
    </row>
    <row r="12" spans="1:15" ht="43.2" x14ac:dyDescent="0.3">
      <c r="A12" s="6" t="s">
        <v>125</v>
      </c>
      <c r="B12" s="6" t="s">
        <v>29</v>
      </c>
      <c r="C12" s="6" t="s">
        <v>126</v>
      </c>
      <c r="D12" s="7" t="s">
        <v>127</v>
      </c>
      <c r="E12" s="6" t="s">
        <v>128</v>
      </c>
      <c r="F12" s="7" t="s">
        <v>129</v>
      </c>
      <c r="G12" s="7" t="s">
        <v>130</v>
      </c>
      <c r="H12" s="7" t="s">
        <v>131</v>
      </c>
      <c r="I12" s="6" t="s">
        <v>21</v>
      </c>
      <c r="J12" s="6">
        <v>1</v>
      </c>
      <c r="K12" s="6">
        <v>4</v>
      </c>
      <c r="L12" s="6">
        <f t="shared" si="0"/>
        <v>3</v>
      </c>
      <c r="M12" s="6" t="s">
        <v>28</v>
      </c>
      <c r="N12" s="7" t="s">
        <v>132</v>
      </c>
      <c r="O12" s="7" t="s">
        <v>81</v>
      </c>
    </row>
    <row r="13" spans="1:15" ht="28.8" x14ac:dyDescent="0.3">
      <c r="A13" s="6" t="s">
        <v>133</v>
      </c>
      <c r="B13" s="6" t="s">
        <v>29</v>
      </c>
      <c r="C13" s="6" t="s">
        <v>134</v>
      </c>
      <c r="D13" s="7" t="s">
        <v>135</v>
      </c>
      <c r="E13" s="6" t="s">
        <v>136</v>
      </c>
      <c r="F13" s="7" t="s">
        <v>137</v>
      </c>
      <c r="G13" s="7" t="s">
        <v>138</v>
      </c>
      <c r="H13" s="7" t="s">
        <v>139</v>
      </c>
      <c r="I13" s="6" t="s">
        <v>21</v>
      </c>
      <c r="J13" s="6">
        <v>1</v>
      </c>
      <c r="K13" s="6">
        <v>3</v>
      </c>
      <c r="L13" s="6">
        <f t="shared" si="0"/>
        <v>2</v>
      </c>
      <c r="M13" s="6" t="s">
        <v>25</v>
      </c>
      <c r="N13" s="7" t="s">
        <v>140</v>
      </c>
      <c r="O13" s="7" t="s">
        <v>81</v>
      </c>
    </row>
    <row r="14" spans="1:15" ht="28.8" x14ac:dyDescent="0.3">
      <c r="A14" s="6" t="s">
        <v>141</v>
      </c>
      <c r="B14" s="6" t="s">
        <v>31</v>
      </c>
      <c r="C14" s="6" t="s">
        <v>142</v>
      </c>
      <c r="D14" s="7" t="s">
        <v>143</v>
      </c>
      <c r="E14" s="6" t="s">
        <v>144</v>
      </c>
      <c r="F14" s="7" t="s">
        <v>145</v>
      </c>
      <c r="G14" s="7" t="s">
        <v>146</v>
      </c>
      <c r="H14" s="7" t="s">
        <v>147</v>
      </c>
      <c r="I14" s="6" t="s">
        <v>21</v>
      </c>
      <c r="J14" s="6">
        <v>1</v>
      </c>
      <c r="K14" s="6">
        <v>4</v>
      </c>
      <c r="L14" s="6">
        <f t="shared" si="0"/>
        <v>3</v>
      </c>
      <c r="M14" s="6" t="s">
        <v>30</v>
      </c>
      <c r="N14" s="7" t="s">
        <v>148</v>
      </c>
      <c r="O14" s="7" t="s">
        <v>149</v>
      </c>
    </row>
    <row r="15" spans="1:15" ht="28.8" x14ac:dyDescent="0.3">
      <c r="A15" s="6" t="s">
        <v>150</v>
      </c>
      <c r="B15" s="6" t="s">
        <v>32</v>
      </c>
      <c r="C15" s="6" t="s">
        <v>151</v>
      </c>
      <c r="D15" s="7" t="s">
        <v>152</v>
      </c>
      <c r="E15" s="6" t="s">
        <v>153</v>
      </c>
      <c r="F15" s="7" t="s">
        <v>154</v>
      </c>
      <c r="G15" s="7" t="s">
        <v>155</v>
      </c>
      <c r="H15" s="7" t="s">
        <v>156</v>
      </c>
      <c r="I15" s="6" t="s">
        <v>21</v>
      </c>
      <c r="J15" s="6">
        <v>1</v>
      </c>
      <c r="K15" s="6">
        <v>3</v>
      </c>
      <c r="L15" s="6">
        <f t="shared" si="0"/>
        <v>2</v>
      </c>
      <c r="M15" s="6" t="s">
        <v>25</v>
      </c>
      <c r="N15" s="7" t="s">
        <v>157</v>
      </c>
      <c r="O15" s="7" t="s">
        <v>81</v>
      </c>
    </row>
  </sheetData>
  <autoFilter ref="A1:O202" xr:uid="{00000000-0009-0000-0000-000002000000}"/>
  <conditionalFormatting sqref="B2:B197">
    <cfRule type="cellIs" dxfId="5" priority="1" operator="equal">
      <formula>"GOVERN"</formula>
    </cfRule>
    <cfRule type="cellIs" dxfId="4" priority="2" operator="equal">
      <formula>"IDENTIFY"</formula>
    </cfRule>
    <cfRule type="cellIs" dxfId="3" priority="3" operator="equal">
      <formula>"PROTECT"</formula>
    </cfRule>
    <cfRule type="cellIs" dxfId="2" priority="4" operator="equal">
      <formula>"DETECT"</formula>
    </cfRule>
    <cfRule type="cellIs" dxfId="1" priority="5" operator="equal">
      <formula>"RESPOND"</formula>
    </cfRule>
    <cfRule type="cellIs" dxfId="0" priority="6" operator="equal">
      <formula>"RECOVER"</formula>
    </cfRule>
  </conditionalFormatting>
  <pageMargins left="0.75" right="0.75" top="1" bottom="1" header="0.5" footer="0.5"/>
  <pageSetup fitToHeight="0" orientation="landscape"/>
  <extLst>
    <ext xmlns:x14="http://schemas.microsoft.com/office/spreadsheetml/2009/9/main" uri="{CCE6A557-97BC-4b89-ADB6-D9C93CAAB3DF}">
      <x14:dataValidations xmlns:xm="http://schemas.microsoft.com/office/excel/2006/main" count="4">
        <x14:dataValidation type="list" allowBlank="1" xr:uid="{00000000-0002-0000-0200-000000000000}">
          <x14:formula1>
            <xm:f>Lookup!$A$2:$A$7</xm:f>
          </x14:formula1>
          <xm:sqref>B2:B197</xm:sqref>
        </x14:dataValidation>
        <x14:dataValidation type="list" allowBlank="1" xr:uid="{00000000-0002-0000-0200-000001000000}">
          <x14:formula1>
            <xm:f>Lookup!$B$2:$B$4</xm:f>
          </x14:formula1>
          <xm:sqref>I2:I197</xm:sqref>
        </x14:dataValidation>
        <x14:dataValidation type="list" allowBlank="1" xr:uid="{00000000-0002-0000-0200-000002000000}">
          <x14:formula1>
            <xm:f>Lookup!$C$2:$C$5</xm:f>
          </x14:formula1>
          <xm:sqref>M2:M197</xm:sqref>
        </x14:dataValidation>
        <x14:dataValidation type="list" allowBlank="1" xr:uid="{00000000-0002-0000-0200-000003000000}">
          <x14:formula1>
            <xm:f>Lookup!$D$2:$D$6</xm:f>
          </x14:formula1>
          <xm:sqref>J2:J197 K2:K197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pane ySplit="1" topLeftCell="A2" activePane="bottomLeft" state="frozen"/>
      <selection pane="bottomLeft" sqref="A1:XFD1"/>
    </sheetView>
  </sheetViews>
  <sheetFormatPr defaultRowHeight="14.4" x14ac:dyDescent="0.3"/>
  <cols>
    <col min="2" max="2" width="45" customWidth="1"/>
    <col min="3" max="3" width="20" customWidth="1"/>
    <col min="4" max="5" width="45" customWidth="1"/>
  </cols>
  <sheetData>
    <row r="1" spans="1:5" ht="30" customHeight="1" x14ac:dyDescent="0.3">
      <c r="A1" s="5" t="s">
        <v>158</v>
      </c>
      <c r="B1" s="5" t="s">
        <v>159</v>
      </c>
      <c r="C1" s="5" t="s">
        <v>160</v>
      </c>
      <c r="D1" s="5" t="s">
        <v>161</v>
      </c>
      <c r="E1" s="5" t="s">
        <v>162</v>
      </c>
    </row>
    <row r="2" spans="1:5" ht="43.2" x14ac:dyDescent="0.3">
      <c r="A2" s="6" t="s">
        <v>163</v>
      </c>
      <c r="B2" s="7" t="s">
        <v>164</v>
      </c>
      <c r="C2" s="6" t="s">
        <v>165</v>
      </c>
      <c r="D2" s="7" t="s">
        <v>166</v>
      </c>
      <c r="E2" s="7" t="s">
        <v>167</v>
      </c>
    </row>
    <row r="3" spans="1:5" ht="43.2" x14ac:dyDescent="0.3">
      <c r="A3" s="6" t="s">
        <v>168</v>
      </c>
      <c r="B3" s="7" t="s">
        <v>169</v>
      </c>
      <c r="C3" s="6" t="s">
        <v>96</v>
      </c>
      <c r="D3" s="7" t="s">
        <v>170</v>
      </c>
      <c r="E3" s="7" t="s">
        <v>171</v>
      </c>
    </row>
    <row r="4" spans="1:5" ht="43.2" x14ac:dyDescent="0.3">
      <c r="A4" s="6" t="s">
        <v>172</v>
      </c>
      <c r="B4" s="7" t="s">
        <v>173</v>
      </c>
      <c r="C4" s="6" t="s">
        <v>119</v>
      </c>
      <c r="D4" s="7" t="s">
        <v>174</v>
      </c>
      <c r="E4" s="7" t="s">
        <v>175</v>
      </c>
    </row>
    <row r="5" spans="1:5" ht="43.2" x14ac:dyDescent="0.3">
      <c r="A5" s="6" t="s">
        <v>176</v>
      </c>
      <c r="B5" s="7" t="s">
        <v>177</v>
      </c>
      <c r="C5" s="6" t="s">
        <v>141</v>
      </c>
      <c r="D5" s="7" t="s">
        <v>178</v>
      </c>
      <c r="E5" s="7" t="s">
        <v>179</v>
      </c>
    </row>
    <row r="6" spans="1:5" ht="43.2" x14ac:dyDescent="0.3">
      <c r="A6" s="6" t="s">
        <v>180</v>
      </c>
      <c r="B6" s="7" t="s">
        <v>181</v>
      </c>
      <c r="C6" s="6" t="s">
        <v>103</v>
      </c>
      <c r="D6" s="7" t="s">
        <v>182</v>
      </c>
      <c r="E6" s="7" t="s">
        <v>183</v>
      </c>
    </row>
    <row r="7" spans="1:5" ht="43.2" x14ac:dyDescent="0.3">
      <c r="A7" s="6" t="s">
        <v>184</v>
      </c>
      <c r="B7" s="7" t="s">
        <v>185</v>
      </c>
      <c r="C7" s="6" t="s">
        <v>55</v>
      </c>
      <c r="D7" s="7" t="s">
        <v>186</v>
      </c>
      <c r="E7" s="7" t="s">
        <v>187</v>
      </c>
    </row>
    <row r="8" spans="1:5" ht="43.2" x14ac:dyDescent="0.3">
      <c r="A8" s="6" t="s">
        <v>188</v>
      </c>
      <c r="B8" s="7" t="s">
        <v>189</v>
      </c>
      <c r="C8" s="6" t="s">
        <v>46</v>
      </c>
      <c r="D8" s="7" t="s">
        <v>190</v>
      </c>
      <c r="E8" s="7" t="s">
        <v>191</v>
      </c>
    </row>
  </sheetData>
  <autoFilter ref="A1:E202" xr:uid="{00000000-0009-0000-0000-000003000000}"/>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Lookup</vt:lpstr>
      <vt:lpstr>Gap Analysis</vt:lpstr>
      <vt:lpstr>Findings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Jacob Bryer</cp:lastModifiedBy>
  <dcterms:created xsi:type="dcterms:W3CDTF">2026-06-21T22:23:29Z</dcterms:created>
  <dcterms:modified xsi:type="dcterms:W3CDTF">2026-06-21T22:25:34Z</dcterms:modified>
</cp:coreProperties>
</file>