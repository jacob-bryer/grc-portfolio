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Gap Analysis" sheetId="2" state="visible" r:id="rId4"/>
    <sheet name="Findings" sheetId="3" state="visible" r:id="rId5"/>
    <sheet name="Summary" sheetId="4" state="visible" r:id="rId6"/>
  </sheets>
  <definedNames>
    <definedName function="false" hidden="false" localSheetId="2" name="_xlnm.Print_Titles" vbProcedure="false">Findings!$1:$1</definedName>
    <definedName function="false" hidden="true" localSheetId="2" name="_xlnm._FilterDatabase" vbProcedure="false">Findings!$A$1:$F$12</definedName>
    <definedName function="false" hidden="false" localSheetId="1" name="_xlnm.Print_Titles" vbProcedure="false">'Gap Analysis'!$1:$1</definedName>
    <definedName function="false" hidden="true" localSheetId="1" name="_xlnm._FilterDatabase" vbProcedure="false">'Gap Analysis'!$A$1:$O$34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<sst xmlns="http://schemas.openxmlformats.org/spreadsheetml/2006/main" count="546" uniqueCount="396">
  <si>
    <t xml:space="preserve">Midwest Precision Parts — NIST CSF 2.0 Gap Assessment</t>
  </si>
  <si>
    <t xml:space="preserve">Cybersecurity Control Gap Analysis</t>
  </si>
  <si>
    <t xml:space="preserve">Prepared by: JB | GRC Portfolio Project</t>
  </si>
  <si>
    <t xml:space="preserve">Fictional engagement — created for portfolio purposes only. No real company, client, or data is represented.</t>
  </si>
  <si>
    <t xml:space="preserve">Purpose</t>
  </si>
  <si>
    <t xml:space="preserve">I evaluated Midwest Precision Parts' current cybersecurity practices against the NIST Cybersecurity Framework (CSF) 2.0 to find the gaps that actually matter to the business, not just the ones that look bad on paper. The goal was a review leadership could actually read, understand, and act on.</t>
  </si>
  <si>
    <t xml:space="preserve">Scope</t>
  </si>
  <si>
    <t xml:space="preserve">•  Identity and access management</t>
  </si>
  <si>
    <t xml:space="preserve">•  Asset inventory</t>
  </si>
  <si>
    <t xml:space="preserve">•  Data protection</t>
  </si>
  <si>
    <t xml:space="preserve">•  Endpoint security</t>
  </si>
  <si>
    <t xml:space="preserve">•  Email and phishing defenses</t>
  </si>
  <si>
    <t xml:space="preserve">•  Backup and recovery</t>
  </si>
  <si>
    <t xml:space="preserve">•  Incident response readiness</t>
  </si>
  <si>
    <t xml:space="preserve">•  Vendor and third-party risk</t>
  </si>
  <si>
    <t xml:space="preserve">•  Security awareness training</t>
  </si>
  <si>
    <t xml:space="preserve">•  Policies and procedures</t>
  </si>
  <si>
    <t xml:space="preserve">Out of scope: operational technology, industrial control systems, and physical plant equipment.</t>
  </si>
  <si>
    <t xml:space="preserve">Assumptions</t>
  </si>
  <si>
    <t xml:space="preserve">•  Findings are based on the fictional environment and stakeholder representations described in the project README, not on technical testing.</t>
  </si>
  <si>
    <t xml:space="preserve">•  No vulnerability scanning or penetration testing was performed as part of this scenario.</t>
  </si>
  <si>
    <t xml:space="preserve">•  Current state reflects a single point in time and assumes no changes were made during the engagement.</t>
  </si>
  <si>
    <t xml:space="preserve">How This Workbook Is Organized</t>
  </si>
  <si>
    <t xml:space="preserve">•  Gap Analysis — the control-by-control assessment, organized by NIST CSF 2.0 Function and Category, including a maturity score for each control.</t>
  </si>
  <si>
    <t xml:space="preserve">•  Findings — the 33 gaps rolled up into 11 cross-cutting risk themes, written for a leadership audience.</t>
  </si>
  <si>
    <t xml:space="preserve">•  Summary — rollup counts, maturity averages, and a chart showing where the risk is concentrated.</t>
  </si>
  <si>
    <t xml:space="preserve">Rating Legend — Status</t>
  </si>
  <si>
    <t xml:space="preserve">Not in Place</t>
  </si>
  <si>
    <t xml:space="preserve">The control doesn't exist in any meaningful way today.</t>
  </si>
  <si>
    <t xml:space="preserve">Partially in Place</t>
  </si>
  <si>
    <t xml:space="preserve">Some elements of the control exist but key pieces are missing or inconsistent.</t>
  </si>
  <si>
    <t xml:space="preserve">Largely in Place</t>
  </si>
  <si>
    <t xml:space="preserve">The control is mostly working, with only minor gaps remaining.</t>
  </si>
  <si>
    <t xml:space="preserve">Rating Legend — Risk</t>
  </si>
  <si>
    <t xml:space="preserve">High</t>
  </si>
  <si>
    <t xml:space="preserve">Gap creates a real, near-term business risk (ransomware, downtime, data loss). Should be prioritized.</t>
  </si>
  <si>
    <t xml:space="preserve">Medium</t>
  </si>
  <si>
    <t xml:space="preserve">Meaningful gap but lower likelihood or impact, or partially mitigated by something else.</t>
  </si>
  <si>
    <t xml:space="preserve">Low</t>
  </si>
  <si>
    <t xml:space="preserve">Minor gap. Worth fixing but not urgent.</t>
  </si>
  <si>
    <t xml:space="preserve">Rating Legend — Maturity Score (Current / Target)</t>
  </si>
  <si>
    <t xml:space="preserve">Current and Target Maturity are scored 1-5 for each control. Gap Score = Target minus Current; bigger numbers mean a bigger lift. Targets are set per-control based on how foundational or business-critical that control is for a company this size, not a flat target across the board.</t>
  </si>
  <si>
    <t xml:space="preserve">1 — Ad hoc / Missing</t>
  </si>
  <si>
    <t xml:space="preserve">Nothing exists. Purely reactive.</t>
  </si>
  <si>
    <t xml:space="preserve">2 — Informal</t>
  </si>
  <si>
    <t xml:space="preserve">Happens, but undocumented and depends on one person remembering.</t>
  </si>
  <si>
    <t xml:space="preserve">3 — Defined</t>
  </si>
  <si>
    <t xml:space="preserve">Documented and reasonably consistent, not yet measured or enforced.</t>
  </si>
  <si>
    <t xml:space="preserve">4 — Managed / Measured</t>
  </si>
  <si>
    <t xml:space="preserve">Consistently performed, tracked, and reported on.</t>
  </si>
  <si>
    <t xml:space="preserve">5 — Optimized</t>
  </si>
  <si>
    <t xml:space="preserve">Continuously reviewed and improved. Not a near-term target for this engagement.</t>
  </si>
  <si>
    <t xml:space="preserve">NIST CSF 2.0 Functions Referenced</t>
  </si>
  <si>
    <t xml:space="preserve">GOVERN</t>
  </si>
  <si>
    <t xml:space="preserve">IDENTIFY</t>
  </si>
  <si>
    <t xml:space="preserve">PROTECT</t>
  </si>
  <si>
    <t xml:space="preserve">DETECT</t>
  </si>
  <si>
    <t xml:space="preserve">RESPOND</t>
  </si>
  <si>
    <t xml:space="preserve">RECOVER</t>
  </si>
  <si>
    <t xml:space="preserve">Note: this assessment focuses on a representative set of CSF 2.0 subcategories tied to the scope areas above, not all ~106 subcategories in the full framework. That's intentional — a review for an 85-person company should be focused, not exhaustive.</t>
  </si>
  <si>
    <t xml:space="preserve">Gap ID</t>
  </si>
  <si>
    <t xml:space="preserve">Function</t>
  </si>
  <si>
    <t xml:space="preserve">Category Code</t>
  </si>
  <si>
    <t xml:space="preserve">Category Name</t>
  </si>
  <si>
    <t xml:space="preserve">Subcategory ID</t>
  </si>
  <si>
    <t xml:space="preserve">Subcategory (Plain Language)</t>
  </si>
  <si>
    <t xml:space="preserve">Current State</t>
  </si>
  <si>
    <t xml:space="preserve">Gap Identified</t>
  </si>
  <si>
    <t xml:space="preserve">Status</t>
  </si>
  <si>
    <t xml:space="preserve">Current
Maturity</t>
  </si>
  <si>
    <t xml:space="preserve">Target
Maturity</t>
  </si>
  <si>
    <t xml:space="preserve">Gap
Score</t>
  </si>
  <si>
    <t xml:space="preserve">Risk Rating</t>
  </si>
  <si>
    <t xml:space="preserve">Quick Recommendation</t>
  </si>
  <si>
    <t xml:space="preserve">Notes</t>
  </si>
  <si>
    <t xml:space="preserve">GAP-01</t>
  </si>
  <si>
    <t xml:space="preserve">GV.OC</t>
  </si>
  <si>
    <t xml:space="preserve">Organizational Context</t>
  </si>
  <si>
    <t xml:space="preserve">GV.OC-01</t>
  </si>
  <si>
    <t xml:space="preserve">Leadership understands the business well enough to factor cybersecurity into decisions</t>
  </si>
  <si>
    <t xml:space="preserve">Leadership understands the business but security isn't part of planning conversations today.</t>
  </si>
  <si>
    <t xml:space="preserve">New customer contracts, new equipment, and new systems are evaluated for cost and operations, not for what they mean for security risk.</t>
  </si>
  <si>
    <t xml:space="preserve">Bring security into business planning discussions</t>
  </si>
  <si>
    <t xml:space="preserve">Based on interviews with Operations Director and IT Manager.</t>
  </si>
  <si>
    <t xml:space="preserve">GAP-02</t>
  </si>
  <si>
    <t xml:space="preserve">GV.OC-05</t>
  </si>
  <si>
    <t xml:space="preserve">The company understands which customers, vendors, and regulators depend on its systems and data, and communicates accordingly</t>
  </si>
  <si>
    <t xml:space="preserve">Sales knows which customers require security questionnaires as part of their contracts, but there's no central place that tracks these requirements.</t>
  </si>
  <si>
    <t xml:space="preserve">Customer security and data-handling commitments aren't tracked in one place, so a commitment made in a contract could be missed operationally.</t>
  </si>
  <si>
    <t xml:space="preserve">Centralize tracking of customer security requirements</t>
  </si>
  <si>
    <t xml:space="preserve">GAP-03</t>
  </si>
  <si>
    <t xml:space="preserve">GV.RM</t>
  </si>
  <si>
    <t xml:space="preserve">Risk Management Strategy</t>
  </si>
  <si>
    <t xml:space="preserve">GV.RM-01</t>
  </si>
  <si>
    <t xml:space="preserve">Leadership has agreed on how much cybersecurity risk the company is willing to accept</t>
  </si>
  <si>
    <t xml:space="preserve">No formal conversation about risk tolerance has happened at the leadership level.</t>
  </si>
  <si>
    <t xml:space="preserve">Without an agreed risk appetite, security spending and priorities are decided ad hoc, usually only after something goes wrong.</t>
  </si>
  <si>
    <t xml:space="preserve">Define and document risk appetite with leadership</t>
  </si>
  <si>
    <t xml:space="preserve">GAP-04</t>
  </si>
  <si>
    <t xml:space="preserve">GV.RR</t>
  </si>
  <si>
    <t xml:space="preserve">Roles, Responsibilities, and Authorities</t>
  </si>
  <si>
    <t xml:space="preserve">GV.RR-01</t>
  </si>
  <si>
    <t xml:space="preserve">Leadership is accountable for cybersecurity risk and builds a culture that takes it seriously</t>
  </si>
  <si>
    <t xml:space="preserve">The IT Manager handles security tasks alongside helpdesk and infrastructure work. Leadership treats security as "an IT thing."</t>
  </si>
  <si>
    <t xml:space="preserve">No executive owns cybersecurity risk. It's informally pushed down to IT without the authority or budget to actually fix things.</t>
  </si>
  <si>
    <t xml:space="preserve">Assign executive-level security ownership</t>
  </si>
  <si>
    <t xml:space="preserve">Key risk theme: no clear ownership of cybersecurity responsibilities.</t>
  </si>
  <si>
    <t xml:space="preserve">GAP-05</t>
  </si>
  <si>
    <t xml:space="preserve">GV.RR-02</t>
  </si>
  <si>
    <t xml:space="preserve">Cybersecurity roles and responsibilities are clearly assigned, written down, and understood</t>
  </si>
  <si>
    <t xml:space="preserve">No documented responsibility matrix exists. Patching, backups, and access requests get handled informally by whoever has time.</t>
  </si>
  <si>
    <t xml:space="preserve">If the IT Manager is out, no one else has documented guidance on what security tasks need to happen or how.</t>
  </si>
  <si>
    <t xml:space="preserve">Document security roles and responsibilities (basic RACI)</t>
  </si>
  <si>
    <t xml:space="preserve">GAP-06</t>
  </si>
  <si>
    <t xml:space="preserve">GV.PO</t>
  </si>
  <si>
    <t xml:space="preserve">Policy</t>
  </si>
  <si>
    <t xml:space="preserve">GV.PO-01</t>
  </si>
  <si>
    <t xml:space="preserve">A cybersecurity policy exists and reflects how the company actually operates today</t>
  </si>
  <si>
    <t xml:space="preserve">An old acceptable use policy exists from when the company was founded, but it isn't actively referenced or enforced.</t>
  </si>
  <si>
    <t xml:space="preserve">No current, enforced policy exists for access control, data handling, or incident response.</t>
  </si>
  <si>
    <t xml:space="preserve">Draft and approve core security policies</t>
  </si>
  <si>
    <t xml:space="preserve">GAP-07</t>
  </si>
  <si>
    <t xml:space="preserve">GV.PO-02</t>
  </si>
  <si>
    <t xml:space="preserve">Policies are reviewed and updated on a regular cycle and enforced</t>
  </si>
  <si>
    <t xml:space="preserve">No review cadence exists. The acceptable use policy hasn't been touched since the company had under 30 employees.</t>
  </si>
  <si>
    <t xml:space="preserve">Policies don't reflect current headcount, systems, or vendor relationships.</t>
  </si>
  <si>
    <t xml:space="preserve">Establish an annual policy review cycle</t>
  </si>
  <si>
    <t xml:space="preserve">GAP-08</t>
  </si>
  <si>
    <t xml:space="preserve">GV.SC</t>
  </si>
  <si>
    <t xml:space="preserve">Cybersecurity Supply Chain Risk Management</t>
  </si>
  <si>
    <t xml:space="preserve">GV.SC-01</t>
  </si>
  <si>
    <t xml:space="preserve">The company has a process for evaluating the cybersecurity risk that vendors and suppliers introduce</t>
  </si>
  <si>
    <t xml:space="preserve">New vendors (e.g., the cloud ERP provider, payroll provider) are selected based on price and references. No security review happens.</t>
  </si>
  <si>
    <t xml:space="preserve">There is no vendor risk review process at all.</t>
  </si>
  <si>
    <t xml:space="preserve">Build a vendor risk review process</t>
  </si>
  <si>
    <t xml:space="preserve">Key risk theme: no documented vendor risk review process.</t>
  </si>
  <si>
    <t xml:space="preserve">GAP-09</t>
  </si>
  <si>
    <t xml:space="preserve">GV.SC-06</t>
  </si>
  <si>
    <t xml:space="preserve">Before signing with a new vendor, the company checks how that vendor will affect its security risk</t>
  </si>
  <si>
    <t xml:space="preserve">Contracts are reviewed by Operations for price and service terms. Security and data-handling terms are not evaluated.</t>
  </si>
  <si>
    <t xml:space="preserve">Vendors with access to company data or systems are onboarded without any security due diligence.</t>
  </si>
  <si>
    <t xml:space="preserve">Add a security review step to vendor onboarding</t>
  </si>
  <si>
    <t xml:space="preserve">GAP-10</t>
  </si>
  <si>
    <t xml:space="preserve">ID.AM</t>
  </si>
  <si>
    <t xml:space="preserve">Asset Management</t>
  </si>
  <si>
    <t xml:space="preserve">ID.AM-01</t>
  </si>
  <si>
    <t xml:space="preserve">The company keeps an up-to-date list of its computers, servers, and other hardware</t>
  </si>
  <si>
    <t xml:space="preserve">A partial spreadsheet exists for office laptops. Production workstations and personal devices used for email aren't tracked.</t>
  </si>
  <si>
    <t xml:space="preserve">There is no complete or current hardware inventory. New devices get added without being logged anywhere.</t>
  </si>
  <si>
    <t xml:space="preserve">Build and maintain a hardware asset inventory</t>
  </si>
  <si>
    <t xml:space="preserve">Key risk theme: limited asset inventory.</t>
  </si>
  <si>
    <t xml:space="preserve">GAP-11</t>
  </si>
  <si>
    <t xml:space="preserve">ID.AM-02</t>
  </si>
  <si>
    <t xml:space="preserve">The company keeps an up-to-date list of the software and cloud services it uses</t>
  </si>
  <si>
    <t xml:space="preserve">No formal software/SaaS inventory exists. The IT Manager knows the major systems, but smaller tools signed up for with a company card aren't tracked.</t>
  </si>
  <si>
    <t xml:space="preserve">Unknown shadow IT risk: an unknown number of cloud apps may hold company or customer data outside IT's visibility.</t>
  </si>
  <si>
    <t xml:space="preserve">Build a software and cloud app inventory</t>
  </si>
  <si>
    <t xml:space="preserve">GAP-12</t>
  </si>
  <si>
    <t xml:space="preserve">ID.AM-05</t>
  </si>
  <si>
    <t xml:space="preserve">Assets are ranked by how important they are to the business so the most critical ones get the most protection</t>
  </si>
  <si>
    <t xml:space="preserve">No formal criticality ranking exists for systems or data.</t>
  </si>
  <si>
    <t xml:space="preserve">Without knowing what's most important (the ERP system vs. a marketing laptop, for example), the company can't prioritize protection or recovery effort.</t>
  </si>
  <si>
    <t xml:space="preserve">Classify key assets by criticality</t>
  </si>
  <si>
    <t xml:space="preserve">GAP-13</t>
  </si>
  <si>
    <t xml:space="preserve">ID.RA</t>
  </si>
  <si>
    <t xml:space="preserve">Risk Assessment</t>
  </si>
  <si>
    <t xml:space="preserve">ID.RA-01</t>
  </si>
  <si>
    <t xml:space="preserve">Known weaknesses in company systems are identified, tracked, and addressed</t>
  </si>
  <si>
    <t xml:space="preserve">No vulnerability scanning is performed. Patching happens reactively when Windows or vendor software prompts for an update.</t>
  </si>
  <si>
    <t xml:space="preserve">No visibility into outdated software, missing patches, or misconfigurations across the environment.</t>
  </si>
  <si>
    <t xml:space="preserve">Implement regular vulnerability scanning</t>
  </si>
  <si>
    <t xml:space="preserve">GAP-14</t>
  </si>
  <si>
    <t xml:space="preserve">ID.RA-05</t>
  </si>
  <si>
    <t xml:space="preserve">The company uses information about threats and vulnerabilities to decide what to fix first</t>
  </si>
  <si>
    <t xml:space="preserve">Risk prioritization doesn't happen formally. Issues get addressed in the order they're noticed, not by severity.</t>
  </si>
  <si>
    <t xml:space="preserve">Without a basis for prioritization, low-impact issues could get fixed before high-impact ones.</t>
  </si>
  <si>
    <t xml:space="preserve">Formalize risk-based prioritization for fixes</t>
  </si>
  <si>
    <t xml:space="preserve">GAP-15</t>
  </si>
  <si>
    <t xml:space="preserve">PR.AA</t>
  </si>
  <si>
    <t xml:space="preserve">Identity Management, Authentication, and Access Control</t>
  </si>
  <si>
    <t xml:space="preserve">PR.AA-01</t>
  </si>
  <si>
    <t xml:space="preserve">User accounts and credentials are properly managed across systems</t>
  </si>
  <si>
    <t xml:space="preserve">User accounts are created manually by the IT Manager for each new hire. A few production workstations still use shared logins.</t>
  </si>
  <si>
    <t xml:space="preserve">Shared accounts mean individual activity can't be tied to a specific person, which is a problem for both security and accountability.</t>
  </si>
  <si>
    <t xml:space="preserve">Eliminate remaining shared production logins</t>
  </si>
  <si>
    <t xml:space="preserve">GAP-16</t>
  </si>
  <si>
    <t xml:space="preserve">PR.AA-05</t>
  </si>
  <si>
    <t xml:space="preserve">Access to systems and data is based on what each person's job requires, and is reviewed periodically</t>
  </si>
  <si>
    <t xml:space="preserve">Access is granted when someone starts a role but rarely adjusted afterward. There's no scheduled review of who has access to what.</t>
  </si>
  <si>
    <t xml:space="preserve">Employees accumulate access over time, and former employees' accounts aren't reliably disabled on a set timeline.</t>
  </si>
  <si>
    <t xml:space="preserve">Implement scheduled access reviews</t>
  </si>
  <si>
    <t xml:space="preserve">Key risk theme: inconsistent user access reviews.</t>
  </si>
  <si>
    <t xml:space="preserve">GAP-17</t>
  </si>
  <si>
    <t xml:space="preserve">PR.AT</t>
  </si>
  <si>
    <t xml:space="preserve">Awareness and Training</t>
  </si>
  <si>
    <t xml:space="preserve">PR.AT-01</t>
  </si>
  <si>
    <t xml:space="preserve">Employees receive training so they can recognize and avoid common cybersecurity threats</t>
  </si>
  <si>
    <t xml:space="preserve">New hires get a brief verbal mention of "don't click weird links" during onboarding. No formal or recurring training program exists.</t>
  </si>
  <si>
    <t xml:space="preserve">No structured phishing or security awareness training, and no way to measure how employees would respond to a real phishing attempt.</t>
  </si>
  <si>
    <t xml:space="preserve">Roll out recurring security awareness training</t>
  </si>
  <si>
    <t xml:space="preserve">Key risk theme: limited phishing and security awareness training.</t>
  </si>
  <si>
    <t xml:space="preserve">GAP-18</t>
  </si>
  <si>
    <t xml:space="preserve">PR.AT-02</t>
  </si>
  <si>
    <t xml:space="preserve">Employees with elevated or admin access understand their added security responsibilities</t>
  </si>
  <si>
    <t xml:space="preserve">The IT Manager and one production supervisor have admin rights on certain systems. No formal training or agreement covers the added responsibility.</t>
  </si>
  <si>
    <t xml:space="preserve">Privileged users aren't held to a documented standard for how they use elevated access.</t>
  </si>
  <si>
    <t xml:space="preserve">Formalize privileged user responsibilities</t>
  </si>
  <si>
    <t xml:space="preserve">GAP-19</t>
  </si>
  <si>
    <t xml:space="preserve">PR.DS</t>
  </si>
  <si>
    <t xml:space="preserve">Data Security</t>
  </si>
  <si>
    <t xml:space="preserve">PR.DS-01</t>
  </si>
  <si>
    <t xml:space="preserve">Sensitive data stored on company systems is protected from unauthorized access or tampering</t>
  </si>
  <si>
    <t xml:space="preserve">Customer drawings/specs and financial files sit on a shared drive with broad department-level access. No protection beyond what's built into Windows.</t>
  </si>
  <si>
    <t xml:space="preserve">Sensitive files are more broadly accessible than necessary, with no additional protection layer.</t>
  </si>
  <si>
    <t xml:space="preserve">Restrict access to sensitive files; add protection layer</t>
  </si>
  <si>
    <t xml:space="preserve">GAP-20</t>
  </si>
  <si>
    <t xml:space="preserve">PR.DS-02</t>
  </si>
  <si>
    <t xml:space="preserve">Sensitive data is protected while it's moving between systems, such as over email or to vendors</t>
  </si>
  <si>
    <t xml:space="preserve">Email runs through Microsoft 365 with default encryption in transit, but files are occasionally emailed to vendors or customers with no extra protection.</t>
  </si>
  <si>
    <t xml:space="preserve">No formal practice exists for handling sensitive attachments (financial data, customer specs) sent outside the company.</t>
  </si>
  <si>
    <t xml:space="preserve">Adopt secure file-sharing for sensitive attachments</t>
  </si>
  <si>
    <t xml:space="preserve">GAP-21</t>
  </si>
  <si>
    <t xml:space="preserve">PR.DS-11</t>
  </si>
  <si>
    <t xml:space="preserve">Backups exist, are protected, and are actually tested to make sure they work</t>
  </si>
  <si>
    <t xml:space="preserve">A cloud backup tool runs nightly on the file server and ERP database. No one has performed a test restore since it was set up about two years ago.</t>
  </si>
  <si>
    <t xml:space="preserve">Backups exist but their reliability is unverified. The company wouldn't know if they're usable until a real recovery is needed.</t>
  </si>
  <si>
    <t xml:space="preserve">Begin regular backup restore testing</t>
  </si>
  <si>
    <t xml:space="preserve">Key risk theme: backup processes that aren't regularly tested.</t>
  </si>
  <si>
    <t xml:space="preserve">GAP-22</t>
  </si>
  <si>
    <t xml:space="preserve">PR.PS</t>
  </si>
  <si>
    <t xml:space="preserve">Platform Security</t>
  </si>
  <si>
    <t xml:space="preserve">PR.PS-01</t>
  </si>
  <si>
    <t xml:space="preserve">Computers and servers are set up using a consistent, secure baseline configuration</t>
  </si>
  <si>
    <t xml:space="preserve">New workstations are imaged from a years-old template. No documented hardening checklist exists.</t>
  </si>
  <si>
    <t xml:space="preserve">No standard secure configuration baseline, so security settings vary machine to machine depending on who set it up.</t>
  </si>
  <si>
    <t xml:space="preserve">Create a secure baseline configuration standard</t>
  </si>
  <si>
    <t xml:space="preserve">GAP-23</t>
  </si>
  <si>
    <t xml:space="preserve">PR.PS-02</t>
  </si>
  <si>
    <t xml:space="preserve">Software and operating systems are kept up to date based on the risk they pose</t>
  </si>
  <si>
    <t xml:space="preserve">Office workstations get Windows updates automatically. Some production workstations run older, unsupported software tied to manufacturing equipment and haven't been patched.</t>
  </si>
  <si>
    <t xml:space="preserve">A subset of systems running legacy/unsupported software is unpatched and a likely entry point for malware.</t>
  </si>
  <si>
    <t xml:space="preserve">Patch, isolate, or replace legacy production systems</t>
  </si>
  <si>
    <t xml:space="preserve">GAP-24</t>
  </si>
  <si>
    <t xml:space="preserve">PR.PS-05</t>
  </si>
  <si>
    <t xml:space="preserve">Employees are prevented from installing unauthorized or risky software</t>
  </si>
  <si>
    <t xml:space="preserve">Most office employees have standard user accounts, but a handful of legacy local admin accounts remain from before current onboarding practices.</t>
  </si>
  <si>
    <t xml:space="preserve">Some users can install unapproved software, increasing malware and shadow IT risk.</t>
  </si>
  <si>
    <t xml:space="preserve">Remove unnecessary local admin rights</t>
  </si>
  <si>
    <t xml:space="preserve">GAP-25</t>
  </si>
  <si>
    <t xml:space="preserve">DE.CM</t>
  </si>
  <si>
    <t xml:space="preserve">Continuous Monitoring</t>
  </si>
  <si>
    <t xml:space="preserve">DE.CM-01</t>
  </si>
  <si>
    <t xml:space="preserve">Company networks are monitored for unusual or suspicious activity</t>
  </si>
  <si>
    <t xml:space="preserve">The office firewall logs traffic, but no one regularly reviews those logs. There's no alerting for suspicious activity.</t>
  </si>
  <si>
    <t xml:space="preserve">Suspicious network activity would likely go unnoticed unless it caused an obvious outage.</t>
  </si>
  <si>
    <t xml:space="preserve">Enable network monitoring and alerting</t>
  </si>
  <si>
    <t xml:space="preserve">GAP-26</t>
  </si>
  <si>
    <t xml:space="preserve">DE.CM-09</t>
  </si>
  <si>
    <t xml:space="preserve">Computers and servers are monitored for signs of malware or compromise</t>
  </si>
  <si>
    <t xml:space="preserve">Workstations run basic antivirus (Windows Defender). There's no centralized endpoint detection and response (EDR) tool or alerting.</t>
  </si>
  <si>
    <t xml:space="preserve">No visibility into endpoint threats beyond what built-in antivirus catches on its own, with no central alerting if it does.</t>
  </si>
  <si>
    <t xml:space="preserve">Deploy centralized endpoint detection (EDR)</t>
  </si>
  <si>
    <t xml:space="preserve">GAP-27</t>
  </si>
  <si>
    <t xml:space="preserve">DE.CM-03</t>
  </si>
  <si>
    <t xml:space="preserve">User activity, including email and web use, is monitored to help catch malicious behavior</t>
  </si>
  <si>
    <t xml:space="preserve">Microsoft 365's built-in spam/malware filtering is on at default settings. No advanced phishing or link-protection features are configured.</t>
  </si>
  <si>
    <t xml:space="preserve">Basic filtering catches obvious spam, but targeted phishing attempts (the kind most likely to succeed) aren't specifically defended against.</t>
  </si>
  <si>
    <t xml:space="preserve">Enable advanced email/phishing protection (Safe Links)</t>
  </si>
  <si>
    <t xml:space="preserve">Key risk theme: limited phishing and security awareness training (technical control side).</t>
  </si>
  <si>
    <t xml:space="preserve">GAP-28</t>
  </si>
  <si>
    <t xml:space="preserve">DE.AE</t>
  </si>
  <si>
    <t xml:space="preserve">Adverse Event Analysis</t>
  </si>
  <si>
    <t xml:space="preserve">DE.AE-03</t>
  </si>
  <si>
    <t xml:space="preserve">Information from different systems (logs, alerts) is brought together so patterns can be spotted</t>
  </si>
  <si>
    <t xml:space="preserve">Logs exist in individual systems (firewall, email, server) but nothing pulls them together for review.</t>
  </si>
  <si>
    <t xml:space="preserve">Without centralized logging, connecting the dots on a multi-system incident would be slow and largely manual.</t>
  </si>
  <si>
    <t xml:space="preserve">Centralize log collection for correlation</t>
  </si>
  <si>
    <t xml:space="preserve">GAP-29</t>
  </si>
  <si>
    <t xml:space="preserve">RS.MA</t>
  </si>
  <si>
    <t xml:space="preserve">Incident Management</t>
  </si>
  <si>
    <t xml:space="preserve">RS.MA-01</t>
  </si>
  <si>
    <t xml:space="preserve">There's a documented plan that gets followed when a security incident happens</t>
  </si>
  <si>
    <t xml:space="preserve">No formal incident response plan exists. If something happened, the response would be improvised by the IT Manager and whoever else was available.</t>
  </si>
  <si>
    <t xml:space="preserve">No documented IR plan means a slower, less coordinated response, especially after hours or while the IT Manager is out.</t>
  </si>
  <si>
    <t xml:space="preserve">Develop and document an incident response plan</t>
  </si>
  <si>
    <t xml:space="preserve">Key risk theme: no formal incident response plan.</t>
  </si>
  <si>
    <t xml:space="preserve">GAP-30</t>
  </si>
  <si>
    <t xml:space="preserve">RS.MA-02</t>
  </si>
  <si>
    <t xml:space="preserve">Reported security incidents are reviewed and confirmed before action is taken</t>
  </si>
  <si>
    <t xml:space="preserve">There's no formal channel for employees to report suspected security issues. Reports happen informally, by walking over to IT or a chat message.</t>
  </si>
  <si>
    <t xml:space="preserve">No consistent intake process means some reports could be missed or delayed.</t>
  </si>
  <si>
    <t xml:space="preserve">Create a formal incident reporting channel</t>
  </si>
  <si>
    <t xml:space="preserve">GAP-31</t>
  </si>
  <si>
    <t xml:space="preserve">RS.CO</t>
  </si>
  <si>
    <t xml:space="preserve">Incident Response Reporting and Communication</t>
  </si>
  <si>
    <t xml:space="preserve">RS.CO-02</t>
  </si>
  <si>
    <t xml:space="preserve">Employees, leadership, and customers/vendors (where required) are notified appropriately during an incident</t>
  </si>
  <si>
    <t xml:space="preserve">No communication plan or contact list exists for a security incident.</t>
  </si>
  <si>
    <t xml:space="preserve">In a real incident, the company would be deciding who to notify and how, in real time, including any customer contractual notification requirements.</t>
  </si>
  <si>
    <t xml:space="preserve">Build an incident communication plan and contact list</t>
  </si>
  <si>
    <t xml:space="preserve">GAP-32</t>
  </si>
  <si>
    <t xml:space="preserve">RC.RP</t>
  </si>
  <si>
    <t xml:space="preserve">Incident Recovery Plan Execution</t>
  </si>
  <si>
    <t xml:space="preserve">RC.RP-01</t>
  </si>
  <si>
    <t xml:space="preserve">A documented recovery plan is followed once incident response is underway</t>
  </si>
  <si>
    <t xml:space="preserve">No formal recovery plan exists separate from the unverified backup process.</t>
  </si>
  <si>
    <t xml:space="preserve">No documented steps for restoring systems and operations after an incident, including production downtime scenarios.</t>
  </si>
  <si>
    <t xml:space="preserve">Document a recovery plan and procedures</t>
  </si>
  <si>
    <t xml:space="preserve">GAP-33</t>
  </si>
  <si>
    <t xml:space="preserve">RC.RP-02</t>
  </si>
  <si>
    <t xml:space="preserve">Recovery actions are chosen and prioritized based on what the business needs most</t>
  </si>
  <si>
    <t xml:space="preserve">No criteria exist for what gets restored first if multiple systems were affected.</t>
  </si>
  <si>
    <t xml:space="preserve">Without a documented priority order (e.g., production/ERP before email), recovery could be slower than it needs to be.</t>
  </si>
  <si>
    <t xml:space="preserve">Define a recovery priority order for systems</t>
  </si>
  <si>
    <t xml:space="preserve">Finding ID</t>
  </si>
  <si>
    <t xml:space="preserve">Risk Theme</t>
  </si>
  <si>
    <t xml:space="preserve">Related Gap IDs</t>
  </si>
  <si>
    <t xml:space="preserve">Business Risk</t>
  </si>
  <si>
    <t xml:space="preserve">Recommended Response</t>
  </si>
  <si>
    <t xml:space="preserve">Expected Outcome</t>
  </si>
  <si>
    <t xml:space="preserve">F-01</t>
  </si>
  <si>
    <t xml:space="preserve">No clear ownership of cybersecurity responsibilities</t>
  </si>
  <si>
    <t xml:space="preserve">GAP-04, GAP-05</t>
  </si>
  <si>
    <t xml:space="preserve">Without a named owner, security tasks compete with day-to-day IT work and lose every time. Gaps get found and then sit there because closing them isn't formally anyone's job.</t>
  </si>
  <si>
    <t xml:space="preserve">Name an executive sponsor and a day-to-day security owner, and document who's responsible for what.</t>
  </si>
  <si>
    <t xml:space="preserve">Decisions get made faster, and issues get tracked to closure instead of being rediscovered every year.</t>
  </si>
  <si>
    <t xml:space="preserve">F-02</t>
  </si>
  <si>
    <t xml:space="preserve">Limited asset inventory</t>
  </si>
  <si>
    <t xml:space="preserve">GAP-10, GAP-11, GAP-12</t>
  </si>
  <si>
    <t xml:space="preserve">You can't protect, patch, or recover something you don't know you have. Untracked devices and shadow IT cloud apps are a common entry point for ransomware.</t>
  </si>
  <si>
    <t xml:space="preserve">Build a basic hardware and software inventory and rank systems by how critical they are to the business.</t>
  </si>
  <si>
    <t xml:space="preserve">Better patching coverage, faster incident scoping, and a foundation everything else depends on.</t>
  </si>
  <si>
    <t xml:space="preserve">F-03</t>
  </si>
  <si>
    <t xml:space="preserve">Inconsistent user access reviews</t>
  </si>
  <si>
    <t xml:space="preserve">GAP-15, GAP-16</t>
  </si>
  <si>
    <t xml:space="preserve">Access accumulates over time and rarely gets removed. Over-permissioned or stale accounts are one of the most common ways small companies get breached.</t>
  </si>
  <si>
    <t xml:space="preserve">Set a recurring quarterly access review for systems holding sensitive data, and tighten provisioning.</t>
  </si>
  <si>
    <t xml:space="preserve">Fewer accounts with more access than they need, and a documented trail of who can see what.</t>
  </si>
  <si>
    <t xml:space="preserve">F-04</t>
  </si>
  <si>
    <t xml:space="preserve">Backup processes that aren't regularly tested</t>
  </si>
  <si>
    <t xml:space="preserve">GAP-21, GAP-32, GAP-33</t>
  </si>
  <si>
    <t xml:space="preserve">Backups that have never been restored are a guess, not a safety net. In a ransomware scenario, this is the single biggest factor in whether production is down for hours or for weeks.</t>
  </si>
  <si>
    <t xml:space="preserve">Test-restore backups on a recurring schedule and document a recovery priority order for critical systems.</t>
  </si>
  <si>
    <t xml:space="preserve">Demonstrated confidence the company can actually recover, not just an assumption that backups work.</t>
  </si>
  <si>
    <t xml:space="preserve">F-05</t>
  </si>
  <si>
    <t xml:space="preserve">No formal incident response plan</t>
  </si>
  <si>
    <t xml:space="preserve">GAP-29, GAP-30, GAP-31</t>
  </si>
  <si>
    <t xml:space="preserve">Without a plan, a real incident gets handled in the moment by whoever's around, which is slower, less consistent, and harder to explain to customers or a cyber insurer afterward.</t>
  </si>
  <si>
    <t xml:space="preserve">Document a basic incident response plan with roles, escalation steps, and a communication plan.</t>
  </si>
  <si>
    <t xml:space="preserve">Faster, calmer, more consistent response, and something concrete to show if a customer or insurer asks.</t>
  </si>
  <si>
    <t xml:space="preserve">F-06</t>
  </si>
  <si>
    <t xml:space="preserve">Limited phishing and security awareness training</t>
  </si>
  <si>
    <t xml:space="preserve">GAP-17, GAP-18, GAP-27</t>
  </si>
  <si>
    <t xml:space="preserve">Most ransomware and business email compromise starts with a single click. Without training or technical phishing controls, employees are the most exposed part of the environment.</t>
  </si>
  <si>
    <t xml:space="preserve">Roll out recurring awareness training with phishing simulation, and enable the advanced phishing protection already available in Microsoft 365.</t>
  </si>
  <si>
    <t xml:space="preserve">Fewer successful phishing attempts and a measurable click-rate baseline to track improvement.</t>
  </si>
  <si>
    <t xml:space="preserve">F-07</t>
  </si>
  <si>
    <t xml:space="preserve">No documented vendor risk review process</t>
  </si>
  <si>
    <t xml:space="preserve">GAP-08, GAP-09</t>
  </si>
  <si>
    <t xml:space="preserve">Vendors with access to company systems or data can introduce risk the company has no visibility into. A vendor's weak security can become Midwest Precision Parts' incident.</t>
  </si>
  <si>
    <t xml:space="preserve">Build a lightweight vendor risk questionnaire and require it for new vendors going forward.</t>
  </si>
  <si>
    <t xml:space="preserve">Better visibility into third-party risk before it becomes a contractual or operational problem.</t>
  </si>
  <si>
    <t xml:space="preserve">F-08</t>
  </si>
  <si>
    <t xml:space="preserve">Policies and governance haven't kept pace with the company's growth</t>
  </si>
  <si>
    <t xml:space="preserve">GAP-01, GAP-02, GAP-03, GAP-06, GAP-07</t>
  </si>
  <si>
    <t xml:space="preserve">An 85-person company is still operating on policies and habits sized for a much smaller business. Without updated policy or a stated risk appetite, security investment stays purely reactive.</t>
  </si>
  <si>
    <t xml:space="preserve">Draft and approve core policies, and get leadership to agree on a baseline risk appetite.</t>
  </si>
  <si>
    <t xml:space="preserve">Clear, current expectations for employees and a leadership-level reference point for future decisions.</t>
  </si>
  <si>
    <t xml:space="preserve">F-09</t>
  </si>
  <si>
    <t xml:space="preserve">Limited visibility into vulnerabilities and unpatched systems</t>
  </si>
  <si>
    <t xml:space="preserve">GAP-13, GAP-14, GAP-22, GAP-23, GAP-24</t>
  </si>
  <si>
    <t xml:space="preserve">Unpatched and inconsistently configured systems, especially the legacy production workstations, are a likely entry point for malware and slow the company down if something does get in.</t>
  </si>
  <si>
    <t xml:space="preserve">Implement recurring vulnerability scanning, a secure baseline configuration standard, and a plan to patch or isolate legacy production systems.</t>
  </si>
  <si>
    <t xml:space="preserve">Fewer known, exploitable weaknesses left open, and a documented standard for new systems going forward.</t>
  </si>
  <si>
    <t xml:space="preserve">F-10</t>
  </si>
  <si>
    <t xml:space="preserve">Limited detection and monitoring capability</t>
  </si>
  <si>
    <t xml:space="preserve">GAP-25, GAP-26, GAP-28</t>
  </si>
  <si>
    <t xml:space="preserve">Without centralized monitoring or alerting, suspicious activity is likely to go unnoticed until it causes a visible problem, by which point the damage is already done.</t>
  </si>
  <si>
    <t xml:space="preserve">Enable network alerting, deploy centralized endpoint detection, and begin pulling logs into one place.</t>
  </si>
  <si>
    <t xml:space="preserve">Detection of suspicious activity closer to real-time instead of after the fact.</t>
  </si>
  <si>
    <t xml:space="preserve">F-11</t>
  </si>
  <si>
    <t xml:space="preserve">Sensitive data is more accessible than it needs to be</t>
  </si>
  <si>
    <t xml:space="preserve">GAP-19, GAP-20</t>
  </si>
  <si>
    <t xml:space="preserve">Customer designs and financial records sit on broadly accessible shared drives, and sensitive files are occasionally emailed externally with no extra protection.</t>
  </si>
  <si>
    <t xml:space="preserve">Restrict access to sensitive files by need-to-know and adopt secure file-sharing for sensitive attachments.</t>
  </si>
  <si>
    <t xml:space="preserve">Reduced exposure of the company's most sensitive data, both internally and when shared externally.</t>
  </si>
  <si>
    <t xml:space="preserve">Midwest Precision Parts — Gap Assessment Summary</t>
  </si>
  <si>
    <t xml:space="preserve">Total gaps assessed: 33</t>
  </si>
  <si>
    <t xml:space="preserve">Rolled up into 11 cross-cutting findings — see the Findings tab for detail</t>
  </si>
  <si>
    <t xml:space="preserve">Total</t>
  </si>
  <si>
    <t xml:space="preserve">Count</t>
  </si>
  <si>
    <t xml:space="preserve">Maturity Snapshot</t>
  </si>
  <si>
    <t xml:space="preserve">Score</t>
  </si>
  <si>
    <t xml:space="preserve">Average Current Maturity</t>
  </si>
  <si>
    <t xml:space="preserve">Average Target Maturity</t>
  </si>
  <si>
    <t xml:space="preserve">Average Gap Score</t>
  </si>
</sst>
</file>

<file path=xl/styles.xml><?xml version="1.0" encoding="utf-8"?>
<styleSheet xmlns="http://schemas.openxmlformats.org/spreadsheetml/2006/main">
  <numFmts count="2">
    <numFmt numFmtId="164" formatCode="General"/>
    <numFmt numFmtId="165" formatCode="General"/>
  </numFmts>
  <fonts count="27">
    <font>
      <sz val="11"/>
      <color theme="1"/>
      <name val="Calibri"/>
      <family val="2"/>
      <charset val="1"/>
    </font>
    <font>
      <sz val="10"/>
      <name val="Arial"/>
      <family val="0"/>
    </font>
    <font>
      <sz val="10"/>
      <name val="Arial"/>
      <family val="0"/>
    </font>
    <font>
      <sz val="10"/>
      <name val="Arial"/>
      <family val="0"/>
    </font>
    <font>
      <b val="true"/>
      <sz val="16"/>
      <color rgb="FF1F4E79"/>
      <name val="Calibri"/>
      <family val="0"/>
      <charset val="1"/>
    </font>
    <font>
      <b val="true"/>
      <sz val="13"/>
      <color rgb="FF595959"/>
      <name val="Calibri"/>
      <family val="0"/>
      <charset val="1"/>
    </font>
    <font>
      <b val="true"/>
      <sz val="11"/>
      <color rgb="FF000000"/>
      <name val="Calibri"/>
      <family val="0"/>
      <charset val="1"/>
    </font>
    <font>
      <i val="true"/>
      <sz val="11"/>
      <color rgb="FFC00000"/>
      <name val="Calibri"/>
      <family val="0"/>
      <charset val="1"/>
    </font>
    <font>
      <b val="true"/>
      <sz val="12"/>
      <color rgb="FF1F4E79"/>
      <name val="Calibri"/>
      <family val="0"/>
      <charset val="1"/>
    </font>
    <font>
      <sz val="11"/>
      <color rgb="FF000000"/>
      <name val="Calibri"/>
      <family val="0"/>
      <charset val="1"/>
    </font>
    <font>
      <i val="true"/>
      <sz val="11"/>
      <color rgb="FF000000"/>
      <name val="Calibri"/>
      <family val="0"/>
      <charset val="1"/>
    </font>
    <font>
      <b val="true"/>
      <sz val="11"/>
      <color rgb="FF9C0006"/>
      <name val="Calibri"/>
      <family val="0"/>
      <charset val="1"/>
    </font>
    <font>
      <b val="true"/>
      <sz val="11"/>
      <color rgb="FF9C6500"/>
      <name val="Calibri"/>
      <family val="0"/>
      <charset val="1"/>
    </font>
    <font>
      <b val="true"/>
      <sz val="11"/>
      <color rgb="FF006100"/>
      <name val="Calibri"/>
      <family val="0"/>
      <charset val="1"/>
    </font>
    <font>
      <b val="true"/>
      <sz val="11"/>
      <color rgb="FF1F4E79"/>
      <name val="Calibri"/>
      <family val="0"/>
      <charset val="1"/>
    </font>
    <font>
      <b val="true"/>
      <sz val="11"/>
      <color rgb="FFFFFFFF"/>
      <name val="Calibri"/>
      <family val="0"/>
      <charset val="1"/>
    </font>
    <font>
      <i val="true"/>
      <sz val="11"/>
      <color rgb="FF595959"/>
      <name val="Calibri"/>
      <family val="0"/>
      <charset val="1"/>
    </font>
    <font>
      <sz val="10"/>
      <name val="Calibri"/>
      <family val="0"/>
      <charset val="1"/>
    </font>
    <font>
      <b val="true"/>
      <sz val="10"/>
      <color rgb="FFFFFFFF"/>
      <name val="Calibri"/>
      <family val="0"/>
      <charset val="1"/>
    </font>
    <font>
      <b val="true"/>
      <sz val="10"/>
      <color rgb="FF9C6500"/>
      <name val="Calibri"/>
      <family val="0"/>
      <charset val="1"/>
    </font>
    <font>
      <b val="true"/>
      <sz val="10"/>
      <color rgb="FF006100"/>
      <name val="Calibri"/>
      <family val="0"/>
      <charset val="1"/>
    </font>
    <font>
      <b val="true"/>
      <sz val="10"/>
      <color rgb="FF9C0006"/>
      <name val="Calibri"/>
      <family val="0"/>
      <charset val="1"/>
    </font>
    <font>
      <b val="true"/>
      <sz val="15"/>
      <color rgb="FF1F4E79"/>
      <name val="Calibri"/>
      <family val="0"/>
      <charset val="1"/>
    </font>
    <font>
      <b val="true"/>
      <sz val="10"/>
      <name val="Calibri"/>
      <family val="0"/>
      <charset val="1"/>
    </font>
    <font>
      <b val="true"/>
      <sz val="18"/>
      <color rgb="FF000000"/>
      <name val="Calibri"/>
      <family val="2"/>
    </font>
    <font>
      <sz val="10"/>
      <color rgb="FF000000"/>
      <name val="Calibri"/>
      <family val="2"/>
    </font>
    <font>
      <b val="true"/>
      <sz val="10"/>
      <color rgb="FF000000"/>
      <name val="Calibri"/>
      <family val="2"/>
    </font>
  </fonts>
  <fills count="11">
    <fill>
      <patternFill patternType="none"/>
    </fill>
    <fill>
      <patternFill patternType="gray125"/>
    </fill>
    <fill>
      <patternFill patternType="solid">
        <fgColor rgb="FFFFC7CE"/>
        <bgColor rgb="FFD9D9D9"/>
      </patternFill>
    </fill>
    <fill>
      <patternFill patternType="solid">
        <fgColor rgb="FFFFEB9C"/>
        <bgColor rgb="FFD9D9D9"/>
      </patternFill>
    </fill>
    <fill>
      <patternFill patternType="solid">
        <fgColor rgb="FFC6EFCE"/>
        <bgColor rgb="FFD9D9D9"/>
      </patternFill>
    </fill>
    <fill>
      <patternFill patternType="solid">
        <fgColor rgb="FF6A0DAD"/>
        <bgColor rgb="FF800080"/>
      </patternFill>
    </fill>
    <fill>
      <patternFill patternType="solid">
        <fgColor rgb="FF1F4E79"/>
        <bgColor rgb="FF003366"/>
      </patternFill>
    </fill>
    <fill>
      <patternFill patternType="solid">
        <fgColor rgb="FF2E7D32"/>
        <bgColor rgb="FF006100"/>
      </patternFill>
    </fill>
    <fill>
      <patternFill patternType="solid">
        <fgColor rgb="FFE65100"/>
        <bgColor rgb="FFC62828"/>
      </patternFill>
    </fill>
    <fill>
      <patternFill patternType="solid">
        <fgColor rgb="FFC62828"/>
        <bgColor rgb="FF993366"/>
      </patternFill>
    </fill>
    <fill>
      <patternFill patternType="solid">
        <fgColor rgb="FF00838F"/>
        <bgColor rgb="FF0066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5" fillId="8" borderId="0" xfId="0" applyFont="true" applyBorder="false" applyAlignment="false" applyProtection="false">
      <alignment horizontal="general" vertical="bottom" textRotation="0" wrapText="false" indent="0" shrinkToFit="false"/>
      <protection locked="true" hidden="false"/>
    </xf>
    <xf numFmtId="164" fontId="15" fillId="9" borderId="0" xfId="0" applyFont="true" applyBorder="false" applyAlignment="false" applyProtection="false">
      <alignment horizontal="general" vertical="bottom" textRotation="0" wrapText="false" indent="0" shrinkToFit="false"/>
      <protection locked="true" hidden="false"/>
    </xf>
    <xf numFmtId="164" fontId="15" fillId="1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top" textRotation="0" wrapText="true" indent="0" shrinkToFit="false"/>
      <protection locked="true" hidden="false"/>
    </xf>
    <xf numFmtId="164" fontId="18" fillId="5"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left" vertical="top" textRotation="0" wrapText="true" indent="0" shrinkToFit="false"/>
      <protection locked="true" hidden="false"/>
    </xf>
    <xf numFmtId="164" fontId="19" fillId="3" borderId="1" xfId="0" applyFont="true" applyBorder="true" applyAlignment="true" applyProtection="false">
      <alignment horizontal="center" vertical="top" textRotation="0" wrapText="true" indent="0" shrinkToFit="false"/>
      <protection locked="true" hidden="false"/>
    </xf>
    <xf numFmtId="165" fontId="17" fillId="0" borderId="1" xfId="0" applyFont="true" applyBorder="true" applyAlignment="true" applyProtection="false">
      <alignment horizontal="center" vertical="top" textRotation="0" wrapText="true" indent="0" shrinkToFit="false"/>
      <protection locked="true" hidden="false"/>
    </xf>
    <xf numFmtId="164" fontId="20" fillId="4" borderId="1" xfId="0" applyFont="true" applyBorder="true" applyAlignment="true" applyProtection="false">
      <alignment horizontal="center" vertical="top" textRotation="0" wrapText="true" indent="0" shrinkToFit="false"/>
      <protection locked="true" hidden="false"/>
    </xf>
    <xf numFmtId="164" fontId="21" fillId="2" borderId="1" xfId="0" applyFont="true" applyBorder="true" applyAlignment="true" applyProtection="false">
      <alignment horizontal="center" vertical="top" textRotation="0" wrapText="true" indent="0" shrinkToFit="false"/>
      <protection locked="true" hidden="false"/>
    </xf>
    <xf numFmtId="164" fontId="18" fillId="6"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8" borderId="1" xfId="0" applyFont="true" applyBorder="true" applyAlignment="true" applyProtection="false">
      <alignment horizontal="center" vertical="top" textRotation="0" wrapText="true" indent="0" shrinkToFit="false"/>
      <protection locked="true" hidden="false"/>
    </xf>
    <xf numFmtId="164" fontId="18" fillId="9" borderId="1" xfId="0" applyFont="true" applyBorder="true" applyAlignment="true" applyProtection="false">
      <alignment horizontal="center" vertical="top" textRotation="0" wrapText="true" indent="0" shrinkToFit="false"/>
      <protection locked="true" hidden="false"/>
    </xf>
    <xf numFmtId="164" fontId="18" fillId="10" borderId="1" xfId="0" applyFont="true" applyBorder="true" applyAlignment="true" applyProtection="false">
      <alignment horizontal="center" vertical="top"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bottom" textRotation="0" wrapText="false" indent="0" shrinkToFit="false"/>
      <protection locked="true" hidden="false"/>
    </xf>
    <xf numFmtId="164" fontId="18" fillId="5" borderId="1" xfId="0" applyFont="true" applyBorder="true" applyAlignment="false" applyProtection="false">
      <alignment horizontal="general" vertical="bottom" textRotation="0" wrapText="false" indent="0" shrinkToFit="false"/>
      <protection locked="true" hidden="false"/>
    </xf>
    <xf numFmtId="165" fontId="17" fillId="0" borderId="1" xfId="0" applyFont="true" applyBorder="true" applyAlignment="true" applyProtection="false">
      <alignment horizontal="center" vertical="bottom" textRotation="0" wrapText="false" indent="0" shrinkToFit="false"/>
      <protection locked="true" hidden="false"/>
    </xf>
    <xf numFmtId="164" fontId="18" fillId="6" borderId="1" xfId="0" applyFont="true" applyBorder="true" applyAlignment="false" applyProtection="false">
      <alignment horizontal="general" vertical="bottom" textRotation="0" wrapText="false" indent="0" shrinkToFit="false"/>
      <protection locked="true" hidden="false"/>
    </xf>
    <xf numFmtId="164" fontId="18"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4" fontId="18" fillId="9" borderId="1" xfId="0" applyFont="true" applyBorder="true" applyAlignment="false" applyProtection="false">
      <alignment horizontal="general" vertical="bottom" textRotation="0" wrapText="false" indent="0" shrinkToFit="false"/>
      <protection locked="true" hidden="false"/>
    </xf>
    <xf numFmtId="164" fontId="18" fillId="1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true" applyProtection="false">
      <alignment horizontal="center" vertical="bottom" textRotation="0" wrapText="false" indent="0" shrinkToFit="false"/>
      <protection locked="true" hidden="false"/>
    </xf>
    <xf numFmtId="164" fontId="21" fillId="2" borderId="1"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false" applyProtection="false">
      <alignment horizontal="general" vertical="bottom" textRotation="0" wrapText="false" indent="0" shrinkToFit="false"/>
      <protection locked="true" hidden="false"/>
    </xf>
    <xf numFmtId="164" fontId="20" fillId="4"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00838F"/>
          <bgColor rgb="FF000000"/>
        </patternFill>
      </fill>
    </dxf>
    <dxf>
      <fill>
        <patternFill patternType="solid">
          <fgColor rgb="FF2E7D32"/>
          <bgColor rgb="FF000000"/>
        </patternFill>
      </fill>
    </dxf>
    <dxf>
      <fill>
        <patternFill patternType="solid">
          <fgColor rgb="FF6A0DAD"/>
          <bgColor rgb="FF000000"/>
        </patternFill>
      </fill>
    </dxf>
    <dxf>
      <fill>
        <patternFill patternType="solid">
          <fgColor rgb="FFC62828"/>
          <bgColor rgb="FF000000"/>
        </patternFill>
      </fill>
    </dxf>
    <dxf>
      <fill>
        <patternFill patternType="solid">
          <fgColor rgb="FFE651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9C6500"/>
          <bgColor rgb="FF000000"/>
        </patternFill>
      </fill>
    </dxf>
    <dxf>
      <fill>
        <patternFill patternType="solid">
          <fgColor rgb="FFF8696B"/>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B1D580"/>
          <bgColor rgb="FF000000"/>
        </patternFill>
      </fill>
    </dxf>
    <dxf>
      <fill>
        <patternFill patternType="solid">
          <fgColor rgb="FFF6BE98"/>
          <bgColor rgb="FF000000"/>
        </patternFill>
      </fill>
    </dxf>
    <dxf>
      <fill>
        <patternFill patternType="solid">
          <fgColor rgb="FFFBDFCC"/>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6A0DAD"/>
      <rgbColor rgb="FF00838F"/>
      <rgbColor rgb="FFBFBFBF"/>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B050"/>
      <rgbColor rgb="FF0000FF"/>
      <rgbColor rgb="FF00CCFF"/>
      <rgbColor rgb="FFCCFFFF"/>
      <rgbColor rgb="FFC6EFCE"/>
      <rgbColor rgb="FFFFEB9C"/>
      <rgbColor rgb="FF99CCFF"/>
      <rgbColor rgb="FFFF99CC"/>
      <rgbColor rgb="FFCC99FF"/>
      <rgbColor rgb="FFFFC7CE"/>
      <rgbColor rgb="FF3366FF"/>
      <rgbColor rgb="FF33CCCC"/>
      <rgbColor rgb="FF99CC00"/>
      <rgbColor rgb="FFFFC000"/>
      <rgbColor rgb="FFFF9900"/>
      <rgbColor rgb="FFE65100"/>
      <rgbColor rgb="FF595959"/>
      <rgbColor rgb="FF969696"/>
      <rgbColor rgb="FF003366"/>
      <rgbColor rgb="FF2E7D32"/>
      <rgbColor rgb="FF003300"/>
      <rgbColor rgb="FF333300"/>
      <rgbColor rgb="FFC62828"/>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Open Gaps by Function and Risk Rating</a:t>
            </a:r>
          </a:p>
        </c:rich>
      </c:tx>
      <c:overlay val="0"/>
      <c:spPr>
        <a:noFill/>
        <a:ln w="0">
          <a:noFill/>
        </a:ln>
      </c:spPr>
    </c:title>
    <c:autoTitleDeleted val="0"/>
    <c:plotArea>
      <c:barChart>
        <c:barDir val="col"/>
        <c:grouping val="clustered"/>
        <c:varyColors val="0"/>
        <c:ser>
          <c:idx val="0"/>
          <c:order val="0"/>
          <c:tx>
            <c:strRef>
              <c:f>Summary!C6</c:f>
              <c:strCache>
                <c:ptCount val="1"/>
                <c:pt idx="0">
                  <c:v>High</c:v>
                </c:pt>
              </c:strCache>
            </c:strRef>
          </c:tx>
          <c:spPr>
            <a:solidFill>
              <a:srgbClr val="c00000"/>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Summary!$B$7:$B$12</c:f>
              <c:strCache>
                <c:ptCount val="6"/>
                <c:pt idx="0">
                  <c:v>GOVERN</c:v>
                </c:pt>
                <c:pt idx="1">
                  <c:v>IDENTIFY</c:v>
                </c:pt>
                <c:pt idx="2">
                  <c:v>PROTECT</c:v>
                </c:pt>
                <c:pt idx="3">
                  <c:v>DETECT</c:v>
                </c:pt>
                <c:pt idx="4">
                  <c:v>RESPOND</c:v>
                </c:pt>
                <c:pt idx="5">
                  <c:v>RECOVER</c:v>
                </c:pt>
              </c:strCache>
            </c:strRef>
          </c:cat>
          <c:val>
            <c:numRef>
              <c:f>Summary!$C$7:$C$12</c:f>
              <c:numCache>
                <c:formatCode>General</c:formatCode>
                <c:ptCount val="6"/>
                <c:pt idx="0">
                  <c:v>5</c:v>
                </c:pt>
                <c:pt idx="1">
                  <c:v>3</c:v>
                </c:pt>
                <c:pt idx="2">
                  <c:v>5</c:v>
                </c:pt>
                <c:pt idx="3">
                  <c:v>2</c:v>
                </c:pt>
                <c:pt idx="4">
                  <c:v>1</c:v>
                </c:pt>
                <c:pt idx="5">
                  <c:v>1</c:v>
                </c:pt>
              </c:numCache>
            </c:numRef>
          </c:val>
        </c:ser>
        <c:ser>
          <c:idx val="1"/>
          <c:order val="1"/>
          <c:tx>
            <c:strRef>
              <c:f>Summary!D6</c:f>
              <c:strCache>
                <c:ptCount val="1"/>
                <c:pt idx="0">
                  <c:v>Medium</c:v>
                </c:pt>
              </c:strCache>
            </c:strRef>
          </c:tx>
          <c:spPr>
            <a:solidFill>
              <a:srgbClr val="ffc000"/>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Summary!$B$7:$B$12</c:f>
              <c:strCache>
                <c:ptCount val="6"/>
                <c:pt idx="0">
                  <c:v>GOVERN</c:v>
                </c:pt>
                <c:pt idx="1">
                  <c:v>IDENTIFY</c:v>
                </c:pt>
                <c:pt idx="2">
                  <c:v>PROTECT</c:v>
                </c:pt>
                <c:pt idx="3">
                  <c:v>DETECT</c:v>
                </c:pt>
                <c:pt idx="4">
                  <c:v>RESPOND</c:v>
                </c:pt>
                <c:pt idx="5">
                  <c:v>RECOVER</c:v>
                </c:pt>
              </c:strCache>
            </c:strRef>
          </c:cat>
          <c:val>
            <c:numRef>
              <c:f>Summary!$D$7:$D$12</c:f>
              <c:numCache>
                <c:formatCode>General</c:formatCode>
                <c:ptCount val="6"/>
                <c:pt idx="0">
                  <c:v>3</c:v>
                </c:pt>
                <c:pt idx="1">
                  <c:v>2</c:v>
                </c:pt>
                <c:pt idx="2">
                  <c:v>4</c:v>
                </c:pt>
                <c:pt idx="3">
                  <c:v>2</c:v>
                </c:pt>
                <c:pt idx="4">
                  <c:v>2</c:v>
                </c:pt>
                <c:pt idx="5">
                  <c:v>1</c:v>
                </c:pt>
              </c:numCache>
            </c:numRef>
          </c:val>
        </c:ser>
        <c:ser>
          <c:idx val="2"/>
          <c:order val="2"/>
          <c:tx>
            <c:strRef>
              <c:f>Summary!E6</c:f>
              <c:strCache>
                <c:ptCount val="1"/>
                <c:pt idx="0">
                  <c:v>Low</c:v>
                </c:pt>
              </c:strCache>
            </c:strRef>
          </c:tx>
          <c:spPr>
            <a:solidFill>
              <a:srgbClr val="00b050"/>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Summary!$B$7:$B$12</c:f>
              <c:strCache>
                <c:ptCount val="6"/>
                <c:pt idx="0">
                  <c:v>GOVERN</c:v>
                </c:pt>
                <c:pt idx="1">
                  <c:v>IDENTIFY</c:v>
                </c:pt>
                <c:pt idx="2">
                  <c:v>PROTECT</c:v>
                </c:pt>
                <c:pt idx="3">
                  <c:v>DETECT</c:v>
                </c:pt>
                <c:pt idx="4">
                  <c:v>RESPOND</c:v>
                </c:pt>
                <c:pt idx="5">
                  <c:v>RECOVER</c:v>
                </c:pt>
              </c:strCache>
            </c:strRef>
          </c:cat>
          <c:val>
            <c:numRef>
              <c:f>Summary!$E$7:$E$12</c:f>
              <c:numCache>
                <c:formatCode>General</c:formatCode>
                <c:ptCount val="6"/>
                <c:pt idx="0">
                  <c:v>1</c:v>
                </c:pt>
                <c:pt idx="1">
                  <c:v>0</c:v>
                </c:pt>
                <c:pt idx="2">
                  <c:v>1</c:v>
                </c:pt>
                <c:pt idx="3">
                  <c:v>0</c:v>
                </c:pt>
                <c:pt idx="4">
                  <c:v>0</c:v>
                </c:pt>
                <c:pt idx="5">
                  <c:v>0</c:v>
                </c:pt>
              </c:numCache>
            </c:numRef>
          </c:val>
        </c:ser>
        <c:gapWidth val="150"/>
        <c:overlap val="0"/>
        <c:axId val="37744887"/>
        <c:axId val="32774725"/>
      </c:barChart>
      <c:catAx>
        <c:axId val="3774488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NIST CSF Function</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774725"/>
        <c:crosses val="autoZero"/>
        <c:auto val="1"/>
        <c:lblAlgn val="ctr"/>
        <c:lblOffset val="100"/>
        <c:noMultiLvlLbl val="0"/>
      </c:catAx>
      <c:valAx>
        <c:axId val="3277472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Number of Gaps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74488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25</xdr:row>
      <xdr:rowOff>15840</xdr:rowOff>
    </xdr:from>
    <xdr:to>
      <xdr:col>8</xdr:col>
      <xdr:colOff>448200</xdr:colOff>
      <xdr:row>42</xdr:row>
      <xdr:rowOff>17280</xdr:rowOff>
    </xdr:to>
    <xdr:graphicFrame>
      <xdr:nvGraphicFramePr>
        <xdr:cNvPr id="0" name="Chart 1"/>
        <xdr:cNvGraphicFramePr/>
      </xdr:nvGraphicFramePr>
      <xdr:xfrm>
        <a:off x="211320" y="533412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22"/>
    <col collapsed="false" customWidth="true" hidden="false" outlineLevel="0" max="4" min="4" style="0" width="76"/>
  </cols>
  <sheetData>
    <row r="2" customFormat="false" ht="19.7" hidden="false" customHeight="false" outlineLevel="0" collapsed="false">
      <c r="B2" s="1" t="s">
        <v>0</v>
      </c>
    </row>
    <row r="3" customFormat="false" ht="17.15" hidden="false" customHeight="false" outlineLevel="0" collapsed="false">
      <c r="B3" s="2" t="s">
        <v>1</v>
      </c>
    </row>
    <row r="5" customFormat="false" ht="15" hidden="false" customHeight="false" outlineLevel="0" collapsed="false">
      <c r="B5" s="3" t="s">
        <v>2</v>
      </c>
    </row>
    <row r="6" customFormat="false" ht="15" hidden="false" customHeight="false" outlineLevel="0" collapsed="false">
      <c r="B6" s="4" t="s">
        <v>3</v>
      </c>
    </row>
    <row r="8" customFormat="false" ht="15" hidden="false" customHeight="false" outlineLevel="0" collapsed="false">
      <c r="B8" s="5" t="s">
        <v>4</v>
      </c>
    </row>
    <row r="9" customFormat="false" ht="72" hidden="false" customHeight="true" outlineLevel="0" collapsed="false">
      <c r="B9" s="6" t="s">
        <v>5</v>
      </c>
    </row>
    <row r="11" customFormat="false" ht="15" hidden="false" customHeight="false" outlineLevel="0" collapsed="false">
      <c r="B11" s="5" t="s">
        <v>6</v>
      </c>
    </row>
    <row r="12" customFormat="false" ht="18" hidden="false" customHeight="true" outlineLevel="0" collapsed="false">
      <c r="B12" s="6" t="s">
        <v>7</v>
      </c>
    </row>
    <row r="13" customFormat="false" ht="18" hidden="false" customHeight="true" outlineLevel="0" collapsed="false">
      <c r="B13" s="6" t="s">
        <v>8</v>
      </c>
    </row>
    <row r="14" customFormat="false" ht="18" hidden="false" customHeight="true" outlineLevel="0" collapsed="false">
      <c r="B14" s="6" t="s">
        <v>9</v>
      </c>
    </row>
    <row r="15" customFormat="false" ht="18" hidden="false" customHeight="true" outlineLevel="0" collapsed="false">
      <c r="B15" s="6" t="s">
        <v>10</v>
      </c>
    </row>
    <row r="16" customFormat="false" ht="18" hidden="false" customHeight="true" outlineLevel="0" collapsed="false">
      <c r="B16" s="6" t="s">
        <v>11</v>
      </c>
    </row>
    <row r="17" customFormat="false" ht="18" hidden="false" customHeight="true" outlineLevel="0" collapsed="false">
      <c r="B17" s="6" t="s">
        <v>12</v>
      </c>
    </row>
    <row r="18" customFormat="false" ht="18" hidden="false" customHeight="true" outlineLevel="0" collapsed="false">
      <c r="B18" s="6" t="s">
        <v>13</v>
      </c>
    </row>
    <row r="19" customFormat="false" ht="18" hidden="false" customHeight="true" outlineLevel="0" collapsed="false">
      <c r="B19" s="6" t="s">
        <v>14</v>
      </c>
    </row>
    <row r="20" customFormat="false" ht="18" hidden="false" customHeight="true" outlineLevel="0" collapsed="false">
      <c r="B20" s="6" t="s">
        <v>15</v>
      </c>
    </row>
    <row r="21" customFormat="false" ht="18" hidden="false" customHeight="true" outlineLevel="0" collapsed="false">
      <c r="B21" s="6" t="s">
        <v>16</v>
      </c>
    </row>
    <row r="22" customFormat="false" ht="36" hidden="false" customHeight="true" outlineLevel="0" collapsed="false">
      <c r="B22" s="7" t="s">
        <v>17</v>
      </c>
    </row>
    <row r="24" customFormat="false" ht="15" hidden="false" customHeight="false" outlineLevel="0" collapsed="false">
      <c r="B24" s="5" t="s">
        <v>18</v>
      </c>
    </row>
    <row r="25" customFormat="false" ht="36" hidden="false" customHeight="true" outlineLevel="0" collapsed="false">
      <c r="B25" s="6" t="s">
        <v>19</v>
      </c>
    </row>
    <row r="26" customFormat="false" ht="18" hidden="false" customHeight="true" outlineLevel="0" collapsed="false">
      <c r="B26" s="6" t="s">
        <v>20</v>
      </c>
    </row>
    <row r="27" customFormat="false" ht="36" hidden="false" customHeight="true" outlineLevel="0" collapsed="false">
      <c r="B27" s="6" t="s">
        <v>21</v>
      </c>
    </row>
    <row r="29" customFormat="false" ht="15" hidden="false" customHeight="false" outlineLevel="0" collapsed="false">
      <c r="B29" s="5" t="s">
        <v>22</v>
      </c>
    </row>
    <row r="30" customFormat="false" ht="36" hidden="false" customHeight="true" outlineLevel="0" collapsed="false">
      <c r="B30" s="6" t="s">
        <v>23</v>
      </c>
    </row>
    <row r="31" customFormat="false" ht="36" hidden="false" customHeight="true" outlineLevel="0" collapsed="false">
      <c r="B31" s="6" t="s">
        <v>24</v>
      </c>
    </row>
    <row r="32" customFormat="false" ht="36" hidden="false" customHeight="true" outlineLevel="0" collapsed="false">
      <c r="B32" s="6" t="s">
        <v>25</v>
      </c>
    </row>
    <row r="34" customFormat="false" ht="15" hidden="false" customHeight="false" outlineLevel="0" collapsed="false">
      <c r="B34" s="5" t="s">
        <v>26</v>
      </c>
    </row>
    <row r="35" customFormat="false" ht="30" hidden="false" customHeight="true" outlineLevel="0" collapsed="false">
      <c r="C35" s="8" t="s">
        <v>27</v>
      </c>
      <c r="D35" s="6" t="s">
        <v>28</v>
      </c>
    </row>
    <row r="36" customFormat="false" ht="30" hidden="false" customHeight="true" outlineLevel="0" collapsed="false">
      <c r="C36" s="9" t="s">
        <v>29</v>
      </c>
      <c r="D36" s="6" t="s">
        <v>30</v>
      </c>
    </row>
    <row r="37" customFormat="false" ht="30" hidden="false" customHeight="true" outlineLevel="0" collapsed="false">
      <c r="C37" s="10" t="s">
        <v>31</v>
      </c>
      <c r="D37" s="6" t="s">
        <v>32</v>
      </c>
    </row>
    <row r="39" customFormat="false" ht="15" hidden="false" customHeight="false" outlineLevel="0" collapsed="false">
      <c r="B39" s="5" t="s">
        <v>33</v>
      </c>
    </row>
    <row r="40" customFormat="false" ht="30" hidden="false" customHeight="true" outlineLevel="0" collapsed="false">
      <c r="C40" s="8" t="s">
        <v>34</v>
      </c>
      <c r="D40" s="6" t="s">
        <v>35</v>
      </c>
    </row>
    <row r="41" customFormat="false" ht="30" hidden="false" customHeight="true" outlineLevel="0" collapsed="false">
      <c r="C41" s="9" t="s">
        <v>36</v>
      </c>
      <c r="D41" s="6" t="s">
        <v>37</v>
      </c>
    </row>
    <row r="42" customFormat="false" ht="30" hidden="false" customHeight="true" outlineLevel="0" collapsed="false">
      <c r="C42" s="10" t="s">
        <v>38</v>
      </c>
      <c r="D42" s="6" t="s">
        <v>39</v>
      </c>
    </row>
    <row r="44" customFormat="false" ht="15" hidden="false" customHeight="false" outlineLevel="0" collapsed="false">
      <c r="B44" s="5" t="s">
        <v>40</v>
      </c>
    </row>
    <row r="45" customFormat="false" ht="54" hidden="false" customHeight="true" outlineLevel="0" collapsed="false">
      <c r="B45" s="7" t="s">
        <v>41</v>
      </c>
    </row>
    <row r="46" customFormat="false" ht="24" hidden="false" customHeight="true" outlineLevel="0" collapsed="false">
      <c r="C46" s="11" t="s">
        <v>42</v>
      </c>
      <c r="D46" s="6" t="s">
        <v>43</v>
      </c>
    </row>
    <row r="47" customFormat="false" ht="24" hidden="false" customHeight="true" outlineLevel="0" collapsed="false">
      <c r="C47" s="11" t="s">
        <v>44</v>
      </c>
      <c r="D47" s="6" t="s">
        <v>45</v>
      </c>
    </row>
    <row r="48" customFormat="false" ht="24" hidden="false" customHeight="true" outlineLevel="0" collapsed="false">
      <c r="C48" s="11" t="s">
        <v>46</v>
      </c>
      <c r="D48" s="6" t="s">
        <v>47</v>
      </c>
    </row>
    <row r="49" customFormat="false" ht="24" hidden="false" customHeight="true" outlineLevel="0" collapsed="false">
      <c r="C49" s="11" t="s">
        <v>48</v>
      </c>
      <c r="D49" s="6" t="s">
        <v>49</v>
      </c>
    </row>
    <row r="50" customFormat="false" ht="24" hidden="false" customHeight="true" outlineLevel="0" collapsed="false">
      <c r="C50" s="11" t="s">
        <v>50</v>
      </c>
      <c r="D50" s="6" t="s">
        <v>51</v>
      </c>
    </row>
    <row r="52" customFormat="false" ht="15" hidden="false" customHeight="false" outlineLevel="0" collapsed="false">
      <c r="B52" s="5" t="s">
        <v>52</v>
      </c>
    </row>
    <row r="53" customFormat="false" ht="15" hidden="false" customHeight="false" outlineLevel="0" collapsed="false">
      <c r="C53" s="12" t="s">
        <v>53</v>
      </c>
    </row>
    <row r="54" customFormat="false" ht="15" hidden="false" customHeight="false" outlineLevel="0" collapsed="false">
      <c r="C54" s="13" t="s">
        <v>54</v>
      </c>
    </row>
    <row r="55" customFormat="false" ht="15" hidden="false" customHeight="false" outlineLevel="0" collapsed="false">
      <c r="C55" s="14" t="s">
        <v>55</v>
      </c>
    </row>
    <row r="56" customFormat="false" ht="15" hidden="false" customHeight="false" outlineLevel="0" collapsed="false">
      <c r="C56" s="15" t="s">
        <v>56</v>
      </c>
    </row>
    <row r="57" customFormat="false" ht="15" hidden="false" customHeight="false" outlineLevel="0" collapsed="false">
      <c r="C57" s="16" t="s">
        <v>57</v>
      </c>
    </row>
    <row r="58" customFormat="false" ht="15" hidden="false" customHeight="false" outlineLevel="0" collapsed="false">
      <c r="C58" s="17" t="s">
        <v>58</v>
      </c>
    </row>
    <row r="60" customFormat="false" ht="41.75" hidden="false" customHeight="false" outlineLevel="0" collapsed="false">
      <c r="B60" s="18" t="s">
        <v>59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6" min="6" style="0" width="32"/>
    <col collapsed="false" customWidth="true" hidden="false" outlineLevel="0" max="8" min="7" style="0" width="36"/>
    <col collapsed="false" customWidth="true" hidden="false" outlineLevel="0" max="9" min="9" style="0" width="15"/>
    <col collapsed="false" customWidth="true" hidden="false" outlineLevel="0" max="11" min="10" style="0" width="9"/>
    <col collapsed="false" customWidth="true" hidden="false" outlineLevel="0" max="12" min="12" style="0" width="8"/>
    <col collapsed="false" customWidth="true" hidden="false" outlineLevel="0" max="13" min="13" style="0" width="11"/>
    <col collapsed="false" customWidth="true" hidden="false" outlineLevel="0" max="14" min="14" style="0" width="28"/>
    <col collapsed="false" customWidth="true" hidden="false" outlineLevel="0" max="15" min="15" style="0" width="26"/>
  </cols>
  <sheetData>
    <row r="1" customFormat="false" ht="30" hidden="false" customHeight="true" outlineLevel="0" collapsed="false">
      <c r="A1" s="19" t="s">
        <v>60</v>
      </c>
      <c r="B1" s="19" t="s">
        <v>61</v>
      </c>
      <c r="C1" s="19" t="s">
        <v>62</v>
      </c>
      <c r="D1" s="19" t="s">
        <v>63</v>
      </c>
      <c r="E1" s="19" t="s">
        <v>64</v>
      </c>
      <c r="F1" s="19" t="s">
        <v>65</v>
      </c>
      <c r="G1" s="19" t="s">
        <v>66</v>
      </c>
      <c r="H1" s="19" t="s">
        <v>67</v>
      </c>
      <c r="I1" s="19" t="s">
        <v>68</v>
      </c>
      <c r="J1" s="19" t="s">
        <v>69</v>
      </c>
      <c r="K1" s="19" t="s">
        <v>70</v>
      </c>
      <c r="L1" s="19" t="s">
        <v>71</v>
      </c>
      <c r="M1" s="19" t="s">
        <v>72</v>
      </c>
      <c r="N1" s="19" t="s">
        <v>73</v>
      </c>
      <c r="O1" s="19" t="s">
        <v>74</v>
      </c>
    </row>
    <row r="2" customFormat="false" ht="85.5" hidden="false" customHeight="true" outlineLevel="0" collapsed="false">
      <c r="A2" s="20" t="s">
        <v>75</v>
      </c>
      <c r="B2" s="21" t="s">
        <v>53</v>
      </c>
      <c r="C2" s="20" t="s">
        <v>76</v>
      </c>
      <c r="D2" s="22" t="s">
        <v>77</v>
      </c>
      <c r="E2" s="20" t="s">
        <v>78</v>
      </c>
      <c r="F2" s="22" t="s">
        <v>79</v>
      </c>
      <c r="G2" s="22" t="s">
        <v>80</v>
      </c>
      <c r="H2" s="22" t="s">
        <v>81</v>
      </c>
      <c r="I2" s="23" t="s">
        <v>29</v>
      </c>
      <c r="J2" s="20" t="n">
        <v>2</v>
      </c>
      <c r="K2" s="20" t="n">
        <v>3</v>
      </c>
      <c r="L2" s="24" t="n">
        <f aca="false">K2-J2</f>
        <v>1</v>
      </c>
      <c r="M2" s="23" t="s">
        <v>36</v>
      </c>
      <c r="N2" s="22" t="s">
        <v>82</v>
      </c>
      <c r="O2" s="22" t="s">
        <v>83</v>
      </c>
    </row>
    <row r="3" customFormat="false" ht="99.75" hidden="false" customHeight="true" outlineLevel="0" collapsed="false">
      <c r="A3" s="20" t="s">
        <v>84</v>
      </c>
      <c r="B3" s="21" t="s">
        <v>53</v>
      </c>
      <c r="C3" s="20" t="s">
        <v>76</v>
      </c>
      <c r="D3" s="22" t="s">
        <v>77</v>
      </c>
      <c r="E3" s="20" t="s">
        <v>85</v>
      </c>
      <c r="F3" s="22" t="s">
        <v>86</v>
      </c>
      <c r="G3" s="22" t="s">
        <v>87</v>
      </c>
      <c r="H3" s="22" t="s">
        <v>88</v>
      </c>
      <c r="I3" s="23" t="s">
        <v>29</v>
      </c>
      <c r="J3" s="20" t="n">
        <v>2</v>
      </c>
      <c r="K3" s="20" t="n">
        <v>3</v>
      </c>
      <c r="L3" s="24" t="n">
        <f aca="false">K3-J3</f>
        <v>1</v>
      </c>
      <c r="M3" s="25" t="s">
        <v>38</v>
      </c>
      <c r="N3" s="22" t="s">
        <v>89</v>
      </c>
      <c r="O3" s="22"/>
    </row>
    <row r="4" customFormat="false" ht="85.5" hidden="false" customHeight="true" outlineLevel="0" collapsed="false">
      <c r="A4" s="20" t="s">
        <v>90</v>
      </c>
      <c r="B4" s="21" t="s">
        <v>53</v>
      </c>
      <c r="C4" s="20" t="s">
        <v>91</v>
      </c>
      <c r="D4" s="22" t="s">
        <v>92</v>
      </c>
      <c r="E4" s="20" t="s">
        <v>93</v>
      </c>
      <c r="F4" s="22" t="s">
        <v>94</v>
      </c>
      <c r="G4" s="22" t="s">
        <v>95</v>
      </c>
      <c r="H4" s="22" t="s">
        <v>96</v>
      </c>
      <c r="I4" s="26" t="s">
        <v>27</v>
      </c>
      <c r="J4" s="20" t="n">
        <v>1</v>
      </c>
      <c r="K4" s="20" t="n">
        <v>3</v>
      </c>
      <c r="L4" s="24" t="n">
        <f aca="false">K4-J4</f>
        <v>2</v>
      </c>
      <c r="M4" s="23" t="s">
        <v>36</v>
      </c>
      <c r="N4" s="22" t="s">
        <v>97</v>
      </c>
      <c r="O4" s="22"/>
    </row>
    <row r="5" customFormat="false" ht="85.5" hidden="false" customHeight="true" outlineLevel="0" collapsed="false">
      <c r="A5" s="20" t="s">
        <v>98</v>
      </c>
      <c r="B5" s="21" t="s">
        <v>53</v>
      </c>
      <c r="C5" s="20" t="s">
        <v>99</v>
      </c>
      <c r="D5" s="22" t="s">
        <v>100</v>
      </c>
      <c r="E5" s="20" t="s">
        <v>101</v>
      </c>
      <c r="F5" s="22" t="s">
        <v>102</v>
      </c>
      <c r="G5" s="22" t="s">
        <v>103</v>
      </c>
      <c r="H5" s="22" t="s">
        <v>104</v>
      </c>
      <c r="I5" s="26" t="s">
        <v>27</v>
      </c>
      <c r="J5" s="20" t="n">
        <v>1</v>
      </c>
      <c r="K5" s="20" t="n">
        <v>3</v>
      </c>
      <c r="L5" s="24" t="n">
        <f aca="false">K5-J5</f>
        <v>2</v>
      </c>
      <c r="M5" s="26" t="s">
        <v>34</v>
      </c>
      <c r="N5" s="22" t="s">
        <v>105</v>
      </c>
      <c r="O5" s="22" t="s">
        <v>106</v>
      </c>
    </row>
    <row r="6" customFormat="false" ht="85.5" hidden="false" customHeight="true" outlineLevel="0" collapsed="false">
      <c r="A6" s="20" t="s">
        <v>107</v>
      </c>
      <c r="B6" s="21" t="s">
        <v>53</v>
      </c>
      <c r="C6" s="20" t="s">
        <v>99</v>
      </c>
      <c r="D6" s="22" t="s">
        <v>100</v>
      </c>
      <c r="E6" s="20" t="s">
        <v>108</v>
      </c>
      <c r="F6" s="22" t="s">
        <v>109</v>
      </c>
      <c r="G6" s="22" t="s">
        <v>110</v>
      </c>
      <c r="H6" s="22" t="s">
        <v>111</v>
      </c>
      <c r="I6" s="26" t="s">
        <v>27</v>
      </c>
      <c r="J6" s="20" t="n">
        <v>2</v>
      </c>
      <c r="K6" s="20" t="n">
        <v>3</v>
      </c>
      <c r="L6" s="24" t="n">
        <f aca="false">K6-J6</f>
        <v>1</v>
      </c>
      <c r="M6" s="26" t="s">
        <v>34</v>
      </c>
      <c r="N6" s="22" t="s">
        <v>112</v>
      </c>
      <c r="O6" s="22" t="s">
        <v>106</v>
      </c>
    </row>
    <row r="7" customFormat="false" ht="85.5" hidden="false" customHeight="true" outlineLevel="0" collapsed="false">
      <c r="A7" s="20" t="s">
        <v>113</v>
      </c>
      <c r="B7" s="21" t="s">
        <v>53</v>
      </c>
      <c r="C7" s="20" t="s">
        <v>114</v>
      </c>
      <c r="D7" s="22" t="s">
        <v>115</v>
      </c>
      <c r="E7" s="20" t="s">
        <v>116</v>
      </c>
      <c r="F7" s="22" t="s">
        <v>117</v>
      </c>
      <c r="G7" s="22" t="s">
        <v>118</v>
      </c>
      <c r="H7" s="22" t="s">
        <v>119</v>
      </c>
      <c r="I7" s="23" t="s">
        <v>29</v>
      </c>
      <c r="J7" s="20" t="n">
        <v>2</v>
      </c>
      <c r="K7" s="20" t="n">
        <v>3</v>
      </c>
      <c r="L7" s="24" t="n">
        <f aca="false">K7-J7</f>
        <v>1</v>
      </c>
      <c r="M7" s="26" t="s">
        <v>34</v>
      </c>
      <c r="N7" s="22" t="s">
        <v>120</v>
      </c>
      <c r="O7" s="22"/>
    </row>
    <row r="8" customFormat="false" ht="85.5" hidden="false" customHeight="true" outlineLevel="0" collapsed="false">
      <c r="A8" s="20" t="s">
        <v>121</v>
      </c>
      <c r="B8" s="21" t="s">
        <v>53</v>
      </c>
      <c r="C8" s="20" t="s">
        <v>114</v>
      </c>
      <c r="D8" s="22" t="s">
        <v>115</v>
      </c>
      <c r="E8" s="20" t="s">
        <v>122</v>
      </c>
      <c r="F8" s="22" t="s">
        <v>123</v>
      </c>
      <c r="G8" s="22" t="s">
        <v>124</v>
      </c>
      <c r="H8" s="22" t="s">
        <v>125</v>
      </c>
      <c r="I8" s="26" t="s">
        <v>27</v>
      </c>
      <c r="J8" s="20" t="n">
        <v>1</v>
      </c>
      <c r="K8" s="20" t="n">
        <v>3</v>
      </c>
      <c r="L8" s="24" t="n">
        <f aca="false">K8-J8</f>
        <v>2</v>
      </c>
      <c r="M8" s="23" t="s">
        <v>36</v>
      </c>
      <c r="N8" s="22" t="s">
        <v>126</v>
      </c>
      <c r="O8" s="22"/>
    </row>
    <row r="9" customFormat="false" ht="85.5" hidden="false" customHeight="true" outlineLevel="0" collapsed="false">
      <c r="A9" s="20" t="s">
        <v>127</v>
      </c>
      <c r="B9" s="21" t="s">
        <v>53</v>
      </c>
      <c r="C9" s="20" t="s">
        <v>128</v>
      </c>
      <c r="D9" s="22" t="s">
        <v>129</v>
      </c>
      <c r="E9" s="20" t="s">
        <v>130</v>
      </c>
      <c r="F9" s="22" t="s">
        <v>131</v>
      </c>
      <c r="G9" s="22" t="s">
        <v>132</v>
      </c>
      <c r="H9" s="22" t="s">
        <v>133</v>
      </c>
      <c r="I9" s="26" t="s">
        <v>27</v>
      </c>
      <c r="J9" s="20" t="n">
        <v>1</v>
      </c>
      <c r="K9" s="20" t="n">
        <v>3</v>
      </c>
      <c r="L9" s="24" t="n">
        <f aca="false">K9-J9</f>
        <v>2</v>
      </c>
      <c r="M9" s="26" t="s">
        <v>34</v>
      </c>
      <c r="N9" s="22" t="s">
        <v>134</v>
      </c>
      <c r="O9" s="22" t="s">
        <v>135</v>
      </c>
    </row>
    <row r="10" customFormat="false" ht="85.5" hidden="false" customHeight="true" outlineLevel="0" collapsed="false">
      <c r="A10" s="20" t="s">
        <v>136</v>
      </c>
      <c r="B10" s="21" t="s">
        <v>53</v>
      </c>
      <c r="C10" s="20" t="s">
        <v>128</v>
      </c>
      <c r="D10" s="22" t="s">
        <v>129</v>
      </c>
      <c r="E10" s="20" t="s">
        <v>137</v>
      </c>
      <c r="F10" s="22" t="s">
        <v>138</v>
      </c>
      <c r="G10" s="22" t="s">
        <v>139</v>
      </c>
      <c r="H10" s="22" t="s">
        <v>140</v>
      </c>
      <c r="I10" s="26" t="s">
        <v>27</v>
      </c>
      <c r="J10" s="20" t="n">
        <v>1</v>
      </c>
      <c r="K10" s="20" t="n">
        <v>3</v>
      </c>
      <c r="L10" s="24" t="n">
        <f aca="false">K10-J10</f>
        <v>2</v>
      </c>
      <c r="M10" s="26" t="s">
        <v>34</v>
      </c>
      <c r="N10" s="22" t="s">
        <v>141</v>
      </c>
      <c r="O10" s="22"/>
    </row>
    <row r="11" customFormat="false" ht="85.5" hidden="false" customHeight="true" outlineLevel="0" collapsed="false">
      <c r="A11" s="20" t="s">
        <v>142</v>
      </c>
      <c r="B11" s="27" t="s">
        <v>54</v>
      </c>
      <c r="C11" s="20" t="s">
        <v>143</v>
      </c>
      <c r="D11" s="22" t="s">
        <v>144</v>
      </c>
      <c r="E11" s="20" t="s">
        <v>145</v>
      </c>
      <c r="F11" s="22" t="s">
        <v>146</v>
      </c>
      <c r="G11" s="22" t="s">
        <v>147</v>
      </c>
      <c r="H11" s="22" t="s">
        <v>148</v>
      </c>
      <c r="I11" s="23" t="s">
        <v>29</v>
      </c>
      <c r="J11" s="20" t="n">
        <v>2</v>
      </c>
      <c r="K11" s="20" t="n">
        <v>4</v>
      </c>
      <c r="L11" s="24" t="n">
        <f aca="false">K11-J11</f>
        <v>2</v>
      </c>
      <c r="M11" s="26" t="s">
        <v>34</v>
      </c>
      <c r="N11" s="22" t="s">
        <v>149</v>
      </c>
      <c r="O11" s="22" t="s">
        <v>150</v>
      </c>
    </row>
    <row r="12" customFormat="false" ht="99.75" hidden="false" customHeight="true" outlineLevel="0" collapsed="false">
      <c r="A12" s="20" t="s">
        <v>151</v>
      </c>
      <c r="B12" s="27" t="s">
        <v>54</v>
      </c>
      <c r="C12" s="20" t="s">
        <v>143</v>
      </c>
      <c r="D12" s="22" t="s">
        <v>144</v>
      </c>
      <c r="E12" s="20" t="s">
        <v>152</v>
      </c>
      <c r="F12" s="22" t="s">
        <v>153</v>
      </c>
      <c r="G12" s="22" t="s">
        <v>154</v>
      </c>
      <c r="H12" s="22" t="s">
        <v>155</v>
      </c>
      <c r="I12" s="26" t="s">
        <v>27</v>
      </c>
      <c r="J12" s="20" t="n">
        <v>2</v>
      </c>
      <c r="K12" s="20" t="n">
        <v>4</v>
      </c>
      <c r="L12" s="24" t="n">
        <f aca="false">K12-J12</f>
        <v>2</v>
      </c>
      <c r="M12" s="26" t="s">
        <v>34</v>
      </c>
      <c r="N12" s="22" t="s">
        <v>156</v>
      </c>
      <c r="O12" s="22" t="s">
        <v>150</v>
      </c>
    </row>
    <row r="13" customFormat="false" ht="99.75" hidden="false" customHeight="true" outlineLevel="0" collapsed="false">
      <c r="A13" s="20" t="s">
        <v>157</v>
      </c>
      <c r="B13" s="27" t="s">
        <v>54</v>
      </c>
      <c r="C13" s="20" t="s">
        <v>143</v>
      </c>
      <c r="D13" s="22" t="s">
        <v>144</v>
      </c>
      <c r="E13" s="20" t="s">
        <v>158</v>
      </c>
      <c r="F13" s="22" t="s">
        <v>159</v>
      </c>
      <c r="G13" s="22" t="s">
        <v>160</v>
      </c>
      <c r="H13" s="22" t="s">
        <v>161</v>
      </c>
      <c r="I13" s="26" t="s">
        <v>27</v>
      </c>
      <c r="J13" s="20" t="n">
        <v>1</v>
      </c>
      <c r="K13" s="20" t="n">
        <v>3</v>
      </c>
      <c r="L13" s="24" t="n">
        <f aca="false">K13-J13</f>
        <v>2</v>
      </c>
      <c r="M13" s="23" t="s">
        <v>36</v>
      </c>
      <c r="N13" s="22" t="s">
        <v>162</v>
      </c>
      <c r="O13" s="22"/>
    </row>
    <row r="14" customFormat="false" ht="85.5" hidden="false" customHeight="true" outlineLevel="0" collapsed="false">
      <c r="A14" s="20" t="s">
        <v>163</v>
      </c>
      <c r="B14" s="27" t="s">
        <v>54</v>
      </c>
      <c r="C14" s="20" t="s">
        <v>164</v>
      </c>
      <c r="D14" s="22" t="s">
        <v>165</v>
      </c>
      <c r="E14" s="20" t="s">
        <v>166</v>
      </c>
      <c r="F14" s="22" t="s">
        <v>167</v>
      </c>
      <c r="G14" s="22" t="s">
        <v>168</v>
      </c>
      <c r="H14" s="22" t="s">
        <v>169</v>
      </c>
      <c r="I14" s="26" t="s">
        <v>27</v>
      </c>
      <c r="J14" s="20" t="n">
        <v>1</v>
      </c>
      <c r="K14" s="20" t="n">
        <v>3</v>
      </c>
      <c r="L14" s="24" t="n">
        <f aca="false">K14-J14</f>
        <v>2</v>
      </c>
      <c r="M14" s="26" t="s">
        <v>34</v>
      </c>
      <c r="N14" s="22" t="s">
        <v>170</v>
      </c>
      <c r="O14" s="22"/>
    </row>
    <row r="15" customFormat="false" ht="85.5" hidden="false" customHeight="true" outlineLevel="0" collapsed="false">
      <c r="A15" s="20" t="s">
        <v>171</v>
      </c>
      <c r="B15" s="27" t="s">
        <v>54</v>
      </c>
      <c r="C15" s="20" t="s">
        <v>164</v>
      </c>
      <c r="D15" s="22" t="s">
        <v>165</v>
      </c>
      <c r="E15" s="20" t="s">
        <v>172</v>
      </c>
      <c r="F15" s="22" t="s">
        <v>173</v>
      </c>
      <c r="G15" s="22" t="s">
        <v>174</v>
      </c>
      <c r="H15" s="22" t="s">
        <v>175</v>
      </c>
      <c r="I15" s="26" t="s">
        <v>27</v>
      </c>
      <c r="J15" s="20" t="n">
        <v>1</v>
      </c>
      <c r="K15" s="20" t="n">
        <v>3</v>
      </c>
      <c r="L15" s="24" t="n">
        <f aca="false">K15-J15</f>
        <v>2</v>
      </c>
      <c r="M15" s="23" t="s">
        <v>36</v>
      </c>
      <c r="N15" s="22" t="s">
        <v>176</v>
      </c>
      <c r="O15" s="22"/>
    </row>
    <row r="16" customFormat="false" ht="85.5" hidden="false" customHeight="true" outlineLevel="0" collapsed="false">
      <c r="A16" s="20" t="s">
        <v>177</v>
      </c>
      <c r="B16" s="28" t="s">
        <v>55</v>
      </c>
      <c r="C16" s="20" t="s">
        <v>178</v>
      </c>
      <c r="D16" s="22" t="s">
        <v>179</v>
      </c>
      <c r="E16" s="20" t="s">
        <v>180</v>
      </c>
      <c r="F16" s="22" t="s">
        <v>181</v>
      </c>
      <c r="G16" s="22" t="s">
        <v>182</v>
      </c>
      <c r="H16" s="22" t="s">
        <v>183</v>
      </c>
      <c r="I16" s="25" t="s">
        <v>31</v>
      </c>
      <c r="J16" s="20" t="n">
        <v>3</v>
      </c>
      <c r="K16" s="20" t="n">
        <v>4</v>
      </c>
      <c r="L16" s="24" t="n">
        <f aca="false">K16-J16</f>
        <v>1</v>
      </c>
      <c r="M16" s="25" t="s">
        <v>38</v>
      </c>
      <c r="N16" s="22" t="s">
        <v>184</v>
      </c>
      <c r="O16" s="22"/>
    </row>
    <row r="17" customFormat="false" ht="85.5" hidden="false" customHeight="true" outlineLevel="0" collapsed="false">
      <c r="A17" s="20" t="s">
        <v>185</v>
      </c>
      <c r="B17" s="28" t="s">
        <v>55</v>
      </c>
      <c r="C17" s="20" t="s">
        <v>178</v>
      </c>
      <c r="D17" s="22" t="s">
        <v>179</v>
      </c>
      <c r="E17" s="20" t="s">
        <v>186</v>
      </c>
      <c r="F17" s="22" t="s">
        <v>187</v>
      </c>
      <c r="G17" s="22" t="s">
        <v>188</v>
      </c>
      <c r="H17" s="22" t="s">
        <v>189</v>
      </c>
      <c r="I17" s="26" t="s">
        <v>27</v>
      </c>
      <c r="J17" s="20" t="n">
        <v>2</v>
      </c>
      <c r="K17" s="20" t="n">
        <v>4</v>
      </c>
      <c r="L17" s="24" t="n">
        <f aca="false">K17-J17</f>
        <v>2</v>
      </c>
      <c r="M17" s="26" t="s">
        <v>34</v>
      </c>
      <c r="N17" s="22" t="s">
        <v>190</v>
      </c>
      <c r="O17" s="22" t="s">
        <v>191</v>
      </c>
    </row>
    <row r="18" customFormat="false" ht="85.5" hidden="false" customHeight="true" outlineLevel="0" collapsed="false">
      <c r="A18" s="20" t="s">
        <v>192</v>
      </c>
      <c r="B18" s="28" t="s">
        <v>55</v>
      </c>
      <c r="C18" s="20" t="s">
        <v>193</v>
      </c>
      <c r="D18" s="22" t="s">
        <v>194</v>
      </c>
      <c r="E18" s="20" t="s">
        <v>195</v>
      </c>
      <c r="F18" s="22" t="s">
        <v>196</v>
      </c>
      <c r="G18" s="22" t="s">
        <v>197</v>
      </c>
      <c r="H18" s="22" t="s">
        <v>198</v>
      </c>
      <c r="I18" s="26" t="s">
        <v>27</v>
      </c>
      <c r="J18" s="20" t="n">
        <v>1</v>
      </c>
      <c r="K18" s="20" t="n">
        <v>3</v>
      </c>
      <c r="L18" s="24" t="n">
        <f aca="false">K18-J18</f>
        <v>2</v>
      </c>
      <c r="M18" s="26" t="s">
        <v>34</v>
      </c>
      <c r="N18" s="22" t="s">
        <v>199</v>
      </c>
      <c r="O18" s="22" t="s">
        <v>200</v>
      </c>
    </row>
    <row r="19" customFormat="false" ht="99.75" hidden="false" customHeight="true" outlineLevel="0" collapsed="false">
      <c r="A19" s="20" t="s">
        <v>201</v>
      </c>
      <c r="B19" s="28" t="s">
        <v>55</v>
      </c>
      <c r="C19" s="20" t="s">
        <v>193</v>
      </c>
      <c r="D19" s="22" t="s">
        <v>194</v>
      </c>
      <c r="E19" s="20" t="s">
        <v>202</v>
      </c>
      <c r="F19" s="22" t="s">
        <v>203</v>
      </c>
      <c r="G19" s="22" t="s">
        <v>204</v>
      </c>
      <c r="H19" s="22" t="s">
        <v>205</v>
      </c>
      <c r="I19" s="26" t="s">
        <v>27</v>
      </c>
      <c r="J19" s="20" t="n">
        <v>1</v>
      </c>
      <c r="K19" s="20" t="n">
        <v>3</v>
      </c>
      <c r="L19" s="24" t="n">
        <f aca="false">K19-J19</f>
        <v>2</v>
      </c>
      <c r="M19" s="23" t="s">
        <v>36</v>
      </c>
      <c r="N19" s="22" t="s">
        <v>206</v>
      </c>
      <c r="O19" s="22"/>
    </row>
    <row r="20" customFormat="false" ht="99.75" hidden="false" customHeight="true" outlineLevel="0" collapsed="false">
      <c r="A20" s="20" t="s">
        <v>207</v>
      </c>
      <c r="B20" s="28" t="s">
        <v>55</v>
      </c>
      <c r="C20" s="20" t="s">
        <v>208</v>
      </c>
      <c r="D20" s="22" t="s">
        <v>209</v>
      </c>
      <c r="E20" s="20" t="s">
        <v>210</v>
      </c>
      <c r="F20" s="22" t="s">
        <v>211</v>
      </c>
      <c r="G20" s="22" t="s">
        <v>212</v>
      </c>
      <c r="H20" s="22" t="s">
        <v>213</v>
      </c>
      <c r="I20" s="23" t="s">
        <v>29</v>
      </c>
      <c r="J20" s="20" t="n">
        <v>2</v>
      </c>
      <c r="K20" s="20" t="n">
        <v>4</v>
      </c>
      <c r="L20" s="24" t="n">
        <f aca="false">K20-J20</f>
        <v>2</v>
      </c>
      <c r="M20" s="26" t="s">
        <v>34</v>
      </c>
      <c r="N20" s="22" t="s">
        <v>214</v>
      </c>
      <c r="O20" s="22"/>
    </row>
    <row r="21" customFormat="false" ht="99.75" hidden="false" customHeight="true" outlineLevel="0" collapsed="false">
      <c r="A21" s="20" t="s">
        <v>215</v>
      </c>
      <c r="B21" s="28" t="s">
        <v>55</v>
      </c>
      <c r="C21" s="20" t="s">
        <v>208</v>
      </c>
      <c r="D21" s="22" t="s">
        <v>209</v>
      </c>
      <c r="E21" s="20" t="s">
        <v>216</v>
      </c>
      <c r="F21" s="22" t="s">
        <v>217</v>
      </c>
      <c r="G21" s="22" t="s">
        <v>218</v>
      </c>
      <c r="H21" s="22" t="s">
        <v>219</v>
      </c>
      <c r="I21" s="23" t="s">
        <v>29</v>
      </c>
      <c r="J21" s="20" t="n">
        <v>2</v>
      </c>
      <c r="K21" s="20" t="n">
        <v>3</v>
      </c>
      <c r="L21" s="24" t="n">
        <f aca="false">K21-J21</f>
        <v>1</v>
      </c>
      <c r="M21" s="23" t="s">
        <v>36</v>
      </c>
      <c r="N21" s="22" t="s">
        <v>220</v>
      </c>
      <c r="O21" s="22"/>
    </row>
    <row r="22" customFormat="false" ht="99.75" hidden="false" customHeight="true" outlineLevel="0" collapsed="false">
      <c r="A22" s="20" t="s">
        <v>221</v>
      </c>
      <c r="B22" s="28" t="s">
        <v>55</v>
      </c>
      <c r="C22" s="20" t="s">
        <v>208</v>
      </c>
      <c r="D22" s="22" t="s">
        <v>209</v>
      </c>
      <c r="E22" s="20" t="s">
        <v>222</v>
      </c>
      <c r="F22" s="22" t="s">
        <v>223</v>
      </c>
      <c r="G22" s="22" t="s">
        <v>224</v>
      </c>
      <c r="H22" s="22" t="s">
        <v>225</v>
      </c>
      <c r="I22" s="23" t="s">
        <v>29</v>
      </c>
      <c r="J22" s="20" t="n">
        <v>2</v>
      </c>
      <c r="K22" s="20" t="n">
        <v>4</v>
      </c>
      <c r="L22" s="24" t="n">
        <f aca="false">K22-J22</f>
        <v>2</v>
      </c>
      <c r="M22" s="26" t="s">
        <v>34</v>
      </c>
      <c r="N22" s="22" t="s">
        <v>226</v>
      </c>
      <c r="O22" s="22" t="s">
        <v>227</v>
      </c>
    </row>
    <row r="23" customFormat="false" ht="85.5" hidden="false" customHeight="true" outlineLevel="0" collapsed="false">
      <c r="A23" s="20" t="s">
        <v>228</v>
      </c>
      <c r="B23" s="28" t="s">
        <v>55</v>
      </c>
      <c r="C23" s="20" t="s">
        <v>229</v>
      </c>
      <c r="D23" s="22" t="s">
        <v>230</v>
      </c>
      <c r="E23" s="20" t="s">
        <v>231</v>
      </c>
      <c r="F23" s="22" t="s">
        <v>232</v>
      </c>
      <c r="G23" s="22" t="s">
        <v>233</v>
      </c>
      <c r="H23" s="22" t="s">
        <v>234</v>
      </c>
      <c r="I23" s="26" t="s">
        <v>27</v>
      </c>
      <c r="J23" s="20" t="n">
        <v>1</v>
      </c>
      <c r="K23" s="20" t="n">
        <v>3</v>
      </c>
      <c r="L23" s="24" t="n">
        <f aca="false">K23-J23</f>
        <v>2</v>
      </c>
      <c r="M23" s="23" t="s">
        <v>36</v>
      </c>
      <c r="N23" s="22" t="s">
        <v>235</v>
      </c>
      <c r="O23" s="22"/>
    </row>
    <row r="24" customFormat="false" ht="114" hidden="false" customHeight="true" outlineLevel="0" collapsed="false">
      <c r="A24" s="20" t="s">
        <v>236</v>
      </c>
      <c r="B24" s="28" t="s">
        <v>55</v>
      </c>
      <c r="C24" s="20" t="s">
        <v>229</v>
      </c>
      <c r="D24" s="22" t="s">
        <v>230</v>
      </c>
      <c r="E24" s="20" t="s">
        <v>237</v>
      </c>
      <c r="F24" s="22" t="s">
        <v>238</v>
      </c>
      <c r="G24" s="22" t="s">
        <v>239</v>
      </c>
      <c r="H24" s="22" t="s">
        <v>240</v>
      </c>
      <c r="I24" s="23" t="s">
        <v>29</v>
      </c>
      <c r="J24" s="20" t="n">
        <v>2</v>
      </c>
      <c r="K24" s="20" t="n">
        <v>3</v>
      </c>
      <c r="L24" s="24" t="n">
        <f aca="false">K24-J24</f>
        <v>1</v>
      </c>
      <c r="M24" s="26" t="s">
        <v>34</v>
      </c>
      <c r="N24" s="22" t="s">
        <v>241</v>
      </c>
      <c r="O24" s="22"/>
    </row>
    <row r="25" customFormat="false" ht="99.75" hidden="false" customHeight="true" outlineLevel="0" collapsed="false">
      <c r="A25" s="20" t="s">
        <v>242</v>
      </c>
      <c r="B25" s="28" t="s">
        <v>55</v>
      </c>
      <c r="C25" s="20" t="s">
        <v>229</v>
      </c>
      <c r="D25" s="22" t="s">
        <v>230</v>
      </c>
      <c r="E25" s="20" t="s">
        <v>243</v>
      </c>
      <c r="F25" s="22" t="s">
        <v>244</v>
      </c>
      <c r="G25" s="22" t="s">
        <v>245</v>
      </c>
      <c r="H25" s="22" t="s">
        <v>246</v>
      </c>
      <c r="I25" s="23" t="s">
        <v>29</v>
      </c>
      <c r="J25" s="20" t="n">
        <v>3</v>
      </c>
      <c r="K25" s="20" t="n">
        <v>4</v>
      </c>
      <c r="L25" s="24" t="n">
        <f aca="false">K25-J25</f>
        <v>1</v>
      </c>
      <c r="M25" s="23" t="s">
        <v>36</v>
      </c>
      <c r="N25" s="22" t="s">
        <v>247</v>
      </c>
      <c r="O25" s="22"/>
    </row>
    <row r="26" customFormat="false" ht="85.5" hidden="false" customHeight="true" outlineLevel="0" collapsed="false">
      <c r="A26" s="20" t="s">
        <v>248</v>
      </c>
      <c r="B26" s="29" t="s">
        <v>56</v>
      </c>
      <c r="C26" s="20" t="s">
        <v>249</v>
      </c>
      <c r="D26" s="22" t="s">
        <v>250</v>
      </c>
      <c r="E26" s="20" t="s">
        <v>251</v>
      </c>
      <c r="F26" s="22" t="s">
        <v>252</v>
      </c>
      <c r="G26" s="22" t="s">
        <v>253</v>
      </c>
      <c r="H26" s="22" t="s">
        <v>254</v>
      </c>
      <c r="I26" s="26" t="s">
        <v>27</v>
      </c>
      <c r="J26" s="20" t="n">
        <v>2</v>
      </c>
      <c r="K26" s="20" t="n">
        <v>3</v>
      </c>
      <c r="L26" s="24" t="n">
        <f aca="false">K26-J26</f>
        <v>1</v>
      </c>
      <c r="M26" s="26" t="s">
        <v>34</v>
      </c>
      <c r="N26" s="22" t="s">
        <v>255</v>
      </c>
      <c r="O26" s="22"/>
    </row>
    <row r="27" customFormat="false" ht="85.5" hidden="false" customHeight="true" outlineLevel="0" collapsed="false">
      <c r="A27" s="20" t="s">
        <v>256</v>
      </c>
      <c r="B27" s="29" t="s">
        <v>56</v>
      </c>
      <c r="C27" s="20" t="s">
        <v>249</v>
      </c>
      <c r="D27" s="22" t="s">
        <v>250</v>
      </c>
      <c r="E27" s="20" t="s">
        <v>257</v>
      </c>
      <c r="F27" s="22" t="s">
        <v>258</v>
      </c>
      <c r="G27" s="22" t="s">
        <v>259</v>
      </c>
      <c r="H27" s="22" t="s">
        <v>260</v>
      </c>
      <c r="I27" s="23" t="s">
        <v>29</v>
      </c>
      <c r="J27" s="20" t="n">
        <v>2</v>
      </c>
      <c r="K27" s="20" t="n">
        <v>3</v>
      </c>
      <c r="L27" s="24" t="n">
        <f aca="false">K27-J27</f>
        <v>1</v>
      </c>
      <c r="M27" s="23" t="s">
        <v>36</v>
      </c>
      <c r="N27" s="22" t="s">
        <v>261</v>
      </c>
      <c r="O27" s="22"/>
    </row>
    <row r="28" customFormat="false" ht="99.75" hidden="false" customHeight="true" outlineLevel="0" collapsed="false">
      <c r="A28" s="20" t="s">
        <v>262</v>
      </c>
      <c r="B28" s="29" t="s">
        <v>56</v>
      </c>
      <c r="C28" s="20" t="s">
        <v>249</v>
      </c>
      <c r="D28" s="22" t="s">
        <v>250</v>
      </c>
      <c r="E28" s="20" t="s">
        <v>263</v>
      </c>
      <c r="F28" s="22" t="s">
        <v>264</v>
      </c>
      <c r="G28" s="22" t="s">
        <v>265</v>
      </c>
      <c r="H28" s="22" t="s">
        <v>266</v>
      </c>
      <c r="I28" s="23" t="s">
        <v>29</v>
      </c>
      <c r="J28" s="20" t="n">
        <v>2</v>
      </c>
      <c r="K28" s="20" t="n">
        <v>3</v>
      </c>
      <c r="L28" s="24" t="n">
        <f aca="false">K28-J28</f>
        <v>1</v>
      </c>
      <c r="M28" s="26" t="s">
        <v>34</v>
      </c>
      <c r="N28" s="22" t="s">
        <v>267</v>
      </c>
      <c r="O28" s="22" t="s">
        <v>268</v>
      </c>
    </row>
    <row r="29" customFormat="false" ht="72" hidden="false" customHeight="true" outlineLevel="0" collapsed="false">
      <c r="A29" s="20" t="s">
        <v>269</v>
      </c>
      <c r="B29" s="29" t="s">
        <v>56</v>
      </c>
      <c r="C29" s="20" t="s">
        <v>270</v>
      </c>
      <c r="D29" s="22" t="s">
        <v>271</v>
      </c>
      <c r="E29" s="20" t="s">
        <v>272</v>
      </c>
      <c r="F29" s="22" t="s">
        <v>273</v>
      </c>
      <c r="G29" s="22" t="s">
        <v>274</v>
      </c>
      <c r="H29" s="22" t="s">
        <v>275</v>
      </c>
      <c r="I29" s="26" t="s">
        <v>27</v>
      </c>
      <c r="J29" s="20" t="n">
        <v>1</v>
      </c>
      <c r="K29" s="20" t="n">
        <v>3</v>
      </c>
      <c r="L29" s="24" t="n">
        <f aca="false">K29-J29</f>
        <v>2</v>
      </c>
      <c r="M29" s="23" t="s">
        <v>36</v>
      </c>
      <c r="N29" s="22" t="s">
        <v>276</v>
      </c>
      <c r="O29" s="22"/>
    </row>
    <row r="30" customFormat="false" ht="99.75" hidden="false" customHeight="true" outlineLevel="0" collapsed="false">
      <c r="A30" s="20" t="s">
        <v>277</v>
      </c>
      <c r="B30" s="30" t="s">
        <v>57</v>
      </c>
      <c r="C30" s="20" t="s">
        <v>278</v>
      </c>
      <c r="D30" s="22" t="s">
        <v>279</v>
      </c>
      <c r="E30" s="20" t="s">
        <v>280</v>
      </c>
      <c r="F30" s="22" t="s">
        <v>281</v>
      </c>
      <c r="G30" s="22" t="s">
        <v>282</v>
      </c>
      <c r="H30" s="22" t="s">
        <v>283</v>
      </c>
      <c r="I30" s="26" t="s">
        <v>27</v>
      </c>
      <c r="J30" s="20" t="n">
        <v>1</v>
      </c>
      <c r="K30" s="20" t="n">
        <v>3</v>
      </c>
      <c r="L30" s="24" t="n">
        <f aca="false">K30-J30</f>
        <v>2</v>
      </c>
      <c r="M30" s="26" t="s">
        <v>34</v>
      </c>
      <c r="N30" s="22" t="s">
        <v>284</v>
      </c>
      <c r="O30" s="22" t="s">
        <v>285</v>
      </c>
    </row>
    <row r="31" customFormat="false" ht="99.75" hidden="false" customHeight="true" outlineLevel="0" collapsed="false">
      <c r="A31" s="20" t="s">
        <v>286</v>
      </c>
      <c r="B31" s="30" t="s">
        <v>57</v>
      </c>
      <c r="C31" s="20" t="s">
        <v>278</v>
      </c>
      <c r="D31" s="22" t="s">
        <v>279</v>
      </c>
      <c r="E31" s="20" t="s">
        <v>287</v>
      </c>
      <c r="F31" s="22" t="s">
        <v>288</v>
      </c>
      <c r="G31" s="22" t="s">
        <v>289</v>
      </c>
      <c r="H31" s="22" t="s">
        <v>290</v>
      </c>
      <c r="I31" s="26" t="s">
        <v>27</v>
      </c>
      <c r="J31" s="20" t="n">
        <v>1</v>
      </c>
      <c r="K31" s="20" t="n">
        <v>3</v>
      </c>
      <c r="L31" s="24" t="n">
        <f aca="false">K31-J31</f>
        <v>2</v>
      </c>
      <c r="M31" s="23" t="s">
        <v>36</v>
      </c>
      <c r="N31" s="22" t="s">
        <v>291</v>
      </c>
      <c r="O31" s="22"/>
    </row>
    <row r="32" customFormat="false" ht="99.75" hidden="false" customHeight="true" outlineLevel="0" collapsed="false">
      <c r="A32" s="20" t="s">
        <v>292</v>
      </c>
      <c r="B32" s="30" t="s">
        <v>57</v>
      </c>
      <c r="C32" s="20" t="s">
        <v>293</v>
      </c>
      <c r="D32" s="22" t="s">
        <v>294</v>
      </c>
      <c r="E32" s="20" t="s">
        <v>295</v>
      </c>
      <c r="F32" s="22" t="s">
        <v>296</v>
      </c>
      <c r="G32" s="22" t="s">
        <v>297</v>
      </c>
      <c r="H32" s="22" t="s">
        <v>298</v>
      </c>
      <c r="I32" s="26" t="s">
        <v>27</v>
      </c>
      <c r="J32" s="20" t="n">
        <v>1</v>
      </c>
      <c r="K32" s="20" t="n">
        <v>3</v>
      </c>
      <c r="L32" s="24" t="n">
        <f aca="false">K32-J32</f>
        <v>2</v>
      </c>
      <c r="M32" s="23" t="s">
        <v>36</v>
      </c>
      <c r="N32" s="22" t="s">
        <v>299</v>
      </c>
      <c r="O32" s="22"/>
    </row>
    <row r="33" customFormat="false" ht="85.5" hidden="false" customHeight="true" outlineLevel="0" collapsed="false">
      <c r="A33" s="20" t="s">
        <v>300</v>
      </c>
      <c r="B33" s="31" t="s">
        <v>58</v>
      </c>
      <c r="C33" s="20" t="s">
        <v>301</v>
      </c>
      <c r="D33" s="22" t="s">
        <v>302</v>
      </c>
      <c r="E33" s="20" t="s">
        <v>303</v>
      </c>
      <c r="F33" s="22" t="s">
        <v>304</v>
      </c>
      <c r="G33" s="22" t="s">
        <v>305</v>
      </c>
      <c r="H33" s="22" t="s">
        <v>306</v>
      </c>
      <c r="I33" s="26" t="s">
        <v>27</v>
      </c>
      <c r="J33" s="20" t="n">
        <v>1</v>
      </c>
      <c r="K33" s="20" t="n">
        <v>3</v>
      </c>
      <c r="L33" s="24" t="n">
        <f aca="false">K33-J33</f>
        <v>2</v>
      </c>
      <c r="M33" s="26" t="s">
        <v>34</v>
      </c>
      <c r="N33" s="22" t="s">
        <v>307</v>
      </c>
      <c r="O33" s="22"/>
    </row>
    <row r="34" customFormat="false" ht="85.5" hidden="false" customHeight="true" outlineLevel="0" collapsed="false">
      <c r="A34" s="20" t="s">
        <v>308</v>
      </c>
      <c r="B34" s="31" t="s">
        <v>58</v>
      </c>
      <c r="C34" s="20" t="s">
        <v>301</v>
      </c>
      <c r="D34" s="22" t="s">
        <v>302</v>
      </c>
      <c r="E34" s="20" t="s">
        <v>309</v>
      </c>
      <c r="F34" s="22" t="s">
        <v>310</v>
      </c>
      <c r="G34" s="22" t="s">
        <v>311</v>
      </c>
      <c r="H34" s="22" t="s">
        <v>312</v>
      </c>
      <c r="I34" s="26" t="s">
        <v>27</v>
      </c>
      <c r="J34" s="20" t="n">
        <v>1</v>
      </c>
      <c r="K34" s="20" t="n">
        <v>3</v>
      </c>
      <c r="L34" s="24" t="n">
        <f aca="false">K34-J34</f>
        <v>2</v>
      </c>
      <c r="M34" s="23" t="s">
        <v>36</v>
      </c>
      <c r="N34" s="22" t="s">
        <v>313</v>
      </c>
      <c r="O34" s="22"/>
    </row>
  </sheetData>
  <autoFilter ref="A1:O34"/>
  <conditionalFormatting sqref="J2:J34">
    <cfRule type="colorScale" priority="2">
      <colorScale>
        <cfvo type="num" val="1"/>
        <cfvo type="num" val="3"/>
        <cfvo type="num" val="5"/>
        <color rgb="FFF8696B"/>
        <color rgb="FFFFEB84"/>
        <color rgb="FF63BE7B"/>
      </colorScale>
    </cfRule>
  </conditionalFormatting>
  <conditionalFormatting sqref="K2:K34">
    <cfRule type="colorScale" priority="3">
      <colorScale>
        <cfvo type="num" val="1"/>
        <cfvo type="num" val="3"/>
        <cfvo type="num" val="5"/>
        <color rgb="FFF8696B"/>
        <color rgb="FFFFEB84"/>
        <color rgb="FF63BE7B"/>
      </colorScale>
    </cfRule>
  </conditionalFormatting>
  <conditionalFormatting sqref="L2:L34">
    <cfRule type="colorScale" priority="4">
      <colorScale>
        <cfvo type="num" val="0"/>
        <cfvo type="num" val="4"/>
        <color rgb="FFFFFFFF"/>
        <color rgb="FFED7D31"/>
      </colorScale>
    </cfRule>
  </conditionalFormatting>
  <dataValidations count="4">
    <dataValidation allowBlank="true" errorStyle="stop" operator="between" showDropDown="false" showErrorMessage="false" showInputMessage="false" sqref="I2:I150" type="list">
      <formula1>"Not in Place,Partially in Place,Largely in Place"</formula1>
      <formula2>0</formula2>
    </dataValidation>
    <dataValidation allowBlank="true" errorStyle="stop" operator="between" showDropDown="false" showErrorMessage="false" showInputMessage="false" sqref="M2:M150" type="list">
      <formula1>"High,Medium,Low"</formula1>
      <formula2>0</formula2>
    </dataValidation>
    <dataValidation allowBlank="true" errorStyle="stop" operator="between" showDropDown="false" showErrorMessage="false" showInputMessage="false" sqref="B2:B150" type="list">
      <formula1>"GOVERN,IDENTIFY,PROTECT,DETECT,RESPOND,RECOVER"</formula1>
      <formula2>0</formula2>
    </dataValidation>
    <dataValidation allowBlank="true" errorStyle="stop" operator="between" showDropDown="false" showErrorMessage="false" showInputMessage="false" sqref="J2:K150"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18"/>
    <col collapsed="false" customWidth="true" hidden="false" outlineLevel="0" max="4" min="4" style="0" width="42"/>
    <col collapsed="false" customWidth="true" hidden="false" outlineLevel="0" max="5" min="5" style="0" width="38"/>
    <col collapsed="false" customWidth="true" hidden="false" outlineLevel="0" max="6" min="6" style="0" width="36"/>
  </cols>
  <sheetData>
    <row r="1" customFormat="false" ht="30" hidden="false" customHeight="true" outlineLevel="0" collapsed="false">
      <c r="A1" s="19" t="s">
        <v>314</v>
      </c>
      <c r="B1" s="19" t="s">
        <v>315</v>
      </c>
      <c r="C1" s="19" t="s">
        <v>316</v>
      </c>
      <c r="D1" s="19" t="s">
        <v>317</v>
      </c>
      <c r="E1" s="19" t="s">
        <v>318</v>
      </c>
      <c r="F1" s="19" t="s">
        <v>319</v>
      </c>
    </row>
    <row r="2" customFormat="false" ht="109.5" hidden="false" customHeight="true" outlineLevel="0" collapsed="false">
      <c r="A2" s="27" t="s">
        <v>320</v>
      </c>
      <c r="B2" s="22" t="s">
        <v>321</v>
      </c>
      <c r="C2" s="20" t="s">
        <v>322</v>
      </c>
      <c r="D2" s="22" t="s">
        <v>323</v>
      </c>
      <c r="E2" s="22" t="s">
        <v>324</v>
      </c>
      <c r="F2" s="22" t="s">
        <v>325</v>
      </c>
    </row>
    <row r="3" customFormat="false" ht="96" hidden="false" customHeight="true" outlineLevel="0" collapsed="false">
      <c r="A3" s="27" t="s">
        <v>326</v>
      </c>
      <c r="B3" s="22" t="s">
        <v>327</v>
      </c>
      <c r="C3" s="20" t="s">
        <v>328</v>
      </c>
      <c r="D3" s="22" t="s">
        <v>329</v>
      </c>
      <c r="E3" s="22" t="s">
        <v>330</v>
      </c>
      <c r="F3" s="22" t="s">
        <v>331</v>
      </c>
    </row>
    <row r="4" customFormat="false" ht="96" hidden="false" customHeight="true" outlineLevel="0" collapsed="false">
      <c r="A4" s="27" t="s">
        <v>332</v>
      </c>
      <c r="B4" s="22" t="s">
        <v>333</v>
      </c>
      <c r="C4" s="20" t="s">
        <v>334</v>
      </c>
      <c r="D4" s="22" t="s">
        <v>335</v>
      </c>
      <c r="E4" s="22" t="s">
        <v>336</v>
      </c>
      <c r="F4" s="22" t="s">
        <v>337</v>
      </c>
    </row>
    <row r="5" customFormat="false" ht="123.75" hidden="false" customHeight="true" outlineLevel="0" collapsed="false">
      <c r="A5" s="27" t="s">
        <v>338</v>
      </c>
      <c r="B5" s="22" t="s">
        <v>339</v>
      </c>
      <c r="C5" s="20" t="s">
        <v>340</v>
      </c>
      <c r="D5" s="22" t="s">
        <v>341</v>
      </c>
      <c r="E5" s="22" t="s">
        <v>342</v>
      </c>
      <c r="F5" s="22" t="s">
        <v>343</v>
      </c>
    </row>
    <row r="6" customFormat="false" ht="109.5" hidden="false" customHeight="true" outlineLevel="0" collapsed="false">
      <c r="A6" s="27" t="s">
        <v>344</v>
      </c>
      <c r="B6" s="22" t="s">
        <v>345</v>
      </c>
      <c r="C6" s="20" t="s">
        <v>346</v>
      </c>
      <c r="D6" s="22" t="s">
        <v>347</v>
      </c>
      <c r="E6" s="22" t="s">
        <v>348</v>
      </c>
      <c r="F6" s="22" t="s">
        <v>349</v>
      </c>
    </row>
    <row r="7" customFormat="false" ht="109.5" hidden="false" customHeight="true" outlineLevel="0" collapsed="false">
      <c r="A7" s="27" t="s">
        <v>350</v>
      </c>
      <c r="B7" s="22" t="s">
        <v>351</v>
      </c>
      <c r="C7" s="20" t="s">
        <v>352</v>
      </c>
      <c r="D7" s="22" t="s">
        <v>353</v>
      </c>
      <c r="E7" s="22" t="s">
        <v>354</v>
      </c>
      <c r="F7" s="22" t="s">
        <v>355</v>
      </c>
    </row>
    <row r="8" customFormat="false" ht="109.5" hidden="false" customHeight="true" outlineLevel="0" collapsed="false">
      <c r="A8" s="27" t="s">
        <v>356</v>
      </c>
      <c r="B8" s="22" t="s">
        <v>357</v>
      </c>
      <c r="C8" s="20" t="s">
        <v>358</v>
      </c>
      <c r="D8" s="22" t="s">
        <v>359</v>
      </c>
      <c r="E8" s="22" t="s">
        <v>360</v>
      </c>
      <c r="F8" s="22" t="s">
        <v>361</v>
      </c>
    </row>
    <row r="9" customFormat="false" ht="123.75" hidden="false" customHeight="true" outlineLevel="0" collapsed="false">
      <c r="A9" s="27" t="s">
        <v>362</v>
      </c>
      <c r="B9" s="22" t="s">
        <v>363</v>
      </c>
      <c r="C9" s="20" t="s">
        <v>364</v>
      </c>
      <c r="D9" s="22" t="s">
        <v>365</v>
      </c>
      <c r="E9" s="22" t="s">
        <v>366</v>
      </c>
      <c r="F9" s="22" t="s">
        <v>367</v>
      </c>
    </row>
    <row r="10" customFormat="false" ht="123.75" hidden="false" customHeight="true" outlineLevel="0" collapsed="false">
      <c r="A10" s="27" t="s">
        <v>368</v>
      </c>
      <c r="B10" s="22" t="s">
        <v>369</v>
      </c>
      <c r="C10" s="20" t="s">
        <v>370</v>
      </c>
      <c r="D10" s="22" t="s">
        <v>371</v>
      </c>
      <c r="E10" s="22" t="s">
        <v>372</v>
      </c>
      <c r="F10" s="22" t="s">
        <v>373</v>
      </c>
    </row>
    <row r="11" customFormat="false" ht="109.5" hidden="false" customHeight="true" outlineLevel="0" collapsed="false">
      <c r="A11" s="27" t="s">
        <v>374</v>
      </c>
      <c r="B11" s="22" t="s">
        <v>375</v>
      </c>
      <c r="C11" s="20" t="s">
        <v>376</v>
      </c>
      <c r="D11" s="22" t="s">
        <v>377</v>
      </c>
      <c r="E11" s="22" t="s">
        <v>378</v>
      </c>
      <c r="F11" s="22" t="s">
        <v>379</v>
      </c>
    </row>
    <row r="12" customFormat="false" ht="109.5" hidden="false" customHeight="true" outlineLevel="0" collapsed="false">
      <c r="A12" s="27" t="s">
        <v>380</v>
      </c>
      <c r="B12" s="22" t="s">
        <v>381</v>
      </c>
      <c r="C12" s="20" t="s">
        <v>382</v>
      </c>
      <c r="D12" s="22" t="s">
        <v>383</v>
      </c>
      <c r="E12" s="22" t="s">
        <v>384</v>
      </c>
      <c r="F12" s="22" t="s">
        <v>385</v>
      </c>
    </row>
  </sheetData>
  <autoFilter ref="A1:F12"/>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7" min="3" style="0" width="12"/>
  </cols>
  <sheetData>
    <row r="2" customFormat="false" ht="18.55" hidden="false" customHeight="false" outlineLevel="0" collapsed="false">
      <c r="B2" s="32" t="s">
        <v>386</v>
      </c>
    </row>
    <row r="3" customFormat="false" ht="15" hidden="false" customHeight="false" outlineLevel="0" collapsed="false">
      <c r="B3" s="3" t="s">
        <v>387</v>
      </c>
    </row>
    <row r="4" customFormat="false" ht="55.2" hidden="false" customHeight="false" outlineLevel="0" collapsed="false">
      <c r="B4" s="18" t="s">
        <v>388</v>
      </c>
    </row>
    <row r="6" customFormat="false" ht="15" hidden="false" customHeight="false" outlineLevel="0" collapsed="false">
      <c r="B6" s="33" t="s">
        <v>61</v>
      </c>
      <c r="C6" s="33" t="s">
        <v>34</v>
      </c>
      <c r="D6" s="33" t="s">
        <v>36</v>
      </c>
      <c r="E6" s="33" t="s">
        <v>38</v>
      </c>
      <c r="F6" s="33" t="s">
        <v>389</v>
      </c>
    </row>
    <row r="7" customFormat="false" ht="15" hidden="false" customHeight="false" outlineLevel="0" collapsed="false">
      <c r="B7" s="34" t="s">
        <v>53</v>
      </c>
      <c r="C7" s="35" t="n">
        <f aca="false">COUNTIFS('Gap Analysis'!$B$2:$B$34,"GOVERN",'Gap Analysis'!$M$2:$M$34,"High")</f>
        <v>5</v>
      </c>
      <c r="D7" s="35" t="n">
        <f aca="false">COUNTIFS('Gap Analysis'!$B$2:$B$34,"GOVERN",'Gap Analysis'!$M$2:$M$34,"Medium")</f>
        <v>3</v>
      </c>
      <c r="E7" s="35" t="n">
        <f aca="false">COUNTIFS('Gap Analysis'!$B$2:$B$34,"GOVERN",'Gap Analysis'!$M$2:$M$34,"Low")</f>
        <v>1</v>
      </c>
      <c r="F7" s="35" t="n">
        <f aca="false">SUM(C7:E7)</f>
        <v>9</v>
      </c>
    </row>
    <row r="8" customFormat="false" ht="15" hidden="false" customHeight="false" outlineLevel="0" collapsed="false">
      <c r="B8" s="36" t="s">
        <v>54</v>
      </c>
      <c r="C8" s="35" t="n">
        <f aca="false">COUNTIFS('Gap Analysis'!$B$2:$B$34,"IDENTIFY",'Gap Analysis'!$M$2:$M$34,"High")</f>
        <v>3</v>
      </c>
      <c r="D8" s="35" t="n">
        <f aca="false">COUNTIFS('Gap Analysis'!$B$2:$B$34,"IDENTIFY",'Gap Analysis'!$M$2:$M$34,"Medium")</f>
        <v>2</v>
      </c>
      <c r="E8" s="35" t="n">
        <f aca="false">COUNTIFS('Gap Analysis'!$B$2:$B$34,"IDENTIFY",'Gap Analysis'!$M$2:$M$34,"Low")</f>
        <v>0</v>
      </c>
      <c r="F8" s="35" t="n">
        <f aca="false">SUM(C8:E8)</f>
        <v>5</v>
      </c>
    </row>
    <row r="9" customFormat="false" ht="15" hidden="false" customHeight="false" outlineLevel="0" collapsed="false">
      <c r="B9" s="37" t="s">
        <v>55</v>
      </c>
      <c r="C9" s="35" t="n">
        <f aca="false">COUNTIFS('Gap Analysis'!$B$2:$B$34,"PROTECT",'Gap Analysis'!$M$2:$M$34,"High")</f>
        <v>5</v>
      </c>
      <c r="D9" s="35" t="n">
        <f aca="false">COUNTIFS('Gap Analysis'!$B$2:$B$34,"PROTECT",'Gap Analysis'!$M$2:$M$34,"Medium")</f>
        <v>4</v>
      </c>
      <c r="E9" s="35" t="n">
        <f aca="false">COUNTIFS('Gap Analysis'!$B$2:$B$34,"PROTECT",'Gap Analysis'!$M$2:$M$34,"Low")</f>
        <v>1</v>
      </c>
      <c r="F9" s="35" t="n">
        <f aca="false">SUM(C9:E9)</f>
        <v>10</v>
      </c>
    </row>
    <row r="10" customFormat="false" ht="15" hidden="false" customHeight="false" outlineLevel="0" collapsed="false">
      <c r="B10" s="38" t="s">
        <v>56</v>
      </c>
      <c r="C10" s="35" t="n">
        <f aca="false">COUNTIFS('Gap Analysis'!$B$2:$B$34,"DETECT",'Gap Analysis'!$M$2:$M$34,"High")</f>
        <v>2</v>
      </c>
      <c r="D10" s="35" t="n">
        <f aca="false">COUNTIFS('Gap Analysis'!$B$2:$B$34,"DETECT",'Gap Analysis'!$M$2:$M$34,"Medium")</f>
        <v>2</v>
      </c>
      <c r="E10" s="35" t="n">
        <f aca="false">COUNTIFS('Gap Analysis'!$B$2:$B$34,"DETECT",'Gap Analysis'!$M$2:$M$34,"Low")</f>
        <v>0</v>
      </c>
      <c r="F10" s="35" t="n">
        <f aca="false">SUM(C10:E10)</f>
        <v>4</v>
      </c>
    </row>
    <row r="11" customFormat="false" ht="15" hidden="false" customHeight="false" outlineLevel="0" collapsed="false">
      <c r="B11" s="39" t="s">
        <v>57</v>
      </c>
      <c r="C11" s="35" t="n">
        <f aca="false">COUNTIFS('Gap Analysis'!$B$2:$B$34,"RESPOND",'Gap Analysis'!$M$2:$M$34,"High")</f>
        <v>1</v>
      </c>
      <c r="D11" s="35" t="n">
        <f aca="false">COUNTIFS('Gap Analysis'!$B$2:$B$34,"RESPOND",'Gap Analysis'!$M$2:$M$34,"Medium")</f>
        <v>2</v>
      </c>
      <c r="E11" s="35" t="n">
        <f aca="false">COUNTIFS('Gap Analysis'!$B$2:$B$34,"RESPOND",'Gap Analysis'!$M$2:$M$34,"Low")</f>
        <v>0</v>
      </c>
      <c r="F11" s="35" t="n">
        <f aca="false">SUM(C11:E11)</f>
        <v>3</v>
      </c>
    </row>
    <row r="12" customFormat="false" ht="15" hidden="false" customHeight="false" outlineLevel="0" collapsed="false">
      <c r="B12" s="40" t="s">
        <v>58</v>
      </c>
      <c r="C12" s="35" t="n">
        <f aca="false">COUNTIFS('Gap Analysis'!$B$2:$B$34,"RECOVER",'Gap Analysis'!$M$2:$M$34,"High")</f>
        <v>1</v>
      </c>
      <c r="D12" s="35" t="n">
        <f aca="false">COUNTIFS('Gap Analysis'!$B$2:$B$34,"RECOVER",'Gap Analysis'!$M$2:$M$34,"Medium")</f>
        <v>1</v>
      </c>
      <c r="E12" s="35" t="n">
        <f aca="false">COUNTIFS('Gap Analysis'!$B$2:$B$34,"RECOVER",'Gap Analysis'!$M$2:$M$34,"Low")</f>
        <v>0</v>
      </c>
      <c r="F12" s="35" t="n">
        <f aca="false">SUM(C12:E12)</f>
        <v>2</v>
      </c>
    </row>
    <row r="13" customFormat="false" ht="15" hidden="false" customHeight="false" outlineLevel="0" collapsed="false">
      <c r="B13" s="41" t="s">
        <v>389</v>
      </c>
      <c r="C13" s="42" t="n">
        <f aca="false">SUM(C7:C12)</f>
        <v>17</v>
      </c>
      <c r="D13" s="42" t="n">
        <f aca="false">SUM(D7:D12)</f>
        <v>14</v>
      </c>
      <c r="E13" s="42" t="n">
        <f aca="false">SUM(E7:E12)</f>
        <v>2</v>
      </c>
      <c r="F13" s="42" t="n">
        <f aca="false">SUM(F7:F12)</f>
        <v>33</v>
      </c>
    </row>
    <row r="16" customFormat="false" ht="15" hidden="false" customHeight="false" outlineLevel="0" collapsed="false">
      <c r="B16" s="33" t="s">
        <v>68</v>
      </c>
      <c r="C16" s="33" t="s">
        <v>390</v>
      </c>
    </row>
    <row r="17" customFormat="false" ht="15" hidden="false" customHeight="false" outlineLevel="0" collapsed="false">
      <c r="B17" s="43" t="s">
        <v>27</v>
      </c>
      <c r="C17" s="35" t="n">
        <f aca="false">COUNTIF('Gap Analysis'!$I$2:$I$34,"Not in Place")</f>
        <v>21</v>
      </c>
    </row>
    <row r="18" customFormat="false" ht="15" hidden="false" customHeight="false" outlineLevel="0" collapsed="false">
      <c r="B18" s="44" t="s">
        <v>29</v>
      </c>
      <c r="C18" s="35" t="n">
        <f aca="false">COUNTIF('Gap Analysis'!$I$2:$I$34,"Partially in Place")</f>
        <v>11</v>
      </c>
    </row>
    <row r="19" customFormat="false" ht="15" hidden="false" customHeight="false" outlineLevel="0" collapsed="false">
      <c r="B19" s="45" t="s">
        <v>31</v>
      </c>
      <c r="C19" s="35" t="n">
        <f aca="false">COUNTIF('Gap Analysis'!$I$2:$I$34,"Largely in Place")</f>
        <v>1</v>
      </c>
    </row>
    <row r="21" customFormat="false" ht="15" hidden="false" customHeight="false" outlineLevel="0" collapsed="false">
      <c r="B21" s="33" t="s">
        <v>391</v>
      </c>
      <c r="C21" s="33" t="s">
        <v>392</v>
      </c>
    </row>
    <row r="22" customFormat="false" ht="15" hidden="false" customHeight="false" outlineLevel="0" collapsed="false">
      <c r="B22" s="46" t="s">
        <v>393</v>
      </c>
      <c r="C22" s="42" t="n">
        <f aca="false">ROUND(AVERAGE('Gap Analysis'!$J$2:$J$34),1)</f>
        <v>1.5</v>
      </c>
    </row>
    <row r="23" customFormat="false" ht="15" hidden="false" customHeight="false" outlineLevel="0" collapsed="false">
      <c r="B23" s="46" t="s">
        <v>394</v>
      </c>
      <c r="C23" s="42" t="n">
        <f aca="false">ROUND(AVERAGE('Gap Analysis'!$K$2:$K$34),1)</f>
        <v>3.2</v>
      </c>
    </row>
    <row r="24" customFormat="false" ht="15" hidden="false" customHeight="false" outlineLevel="0" collapsed="false">
      <c r="B24" s="46" t="s">
        <v>395</v>
      </c>
      <c r="C24" s="42" t="n">
        <f aca="false">ROUND(AVERAGE('Gap Analysis'!$L$2:$L$34),1)</f>
        <v>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2026-06-22T03:36:33Z</dcterms:created>
  <dc:creator>openpyxl</dc:creator>
  <dc:description/>
  <dc:language>en-US</dc:language>
  <cp:lastModifiedBy/>
  <dcterms:modified xsi:type="dcterms:W3CDTF">2026-06-22T03:37:03Z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