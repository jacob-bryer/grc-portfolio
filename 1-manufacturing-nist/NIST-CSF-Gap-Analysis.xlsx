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75cf6919dd415e" /></Relationships>
</file>

<file path=xl/workbook.xml><?xml version="1.0" encoding="utf-8"?>
<x:workbook xmlns:x="http://schemas.openxmlformats.org/spreadsheetml/2006/main">
  <x:sheets>
    <x:sheet xmlns:r="http://schemas.openxmlformats.org/officeDocument/2006/relationships" name="Summary" sheetId="1" r:id="R29c6fd6ee50542d5"/>
    <x:sheet xmlns:r="http://schemas.openxmlformats.org/officeDocument/2006/relationships" name="Instructions" sheetId="2" r:id="R16c2e183b61144da"/>
    <x:sheet xmlns:r="http://schemas.openxmlformats.org/officeDocument/2006/relationships" name="NIST CSF Mapping" sheetId="3" r:id="Rc600aa3fcc0941c5"/>
    <x:sheet xmlns:r="http://schemas.openxmlformats.org/officeDocument/2006/relationships" name="Findings" sheetId="4" r:id="Rf4be47bd0adc4b62"/>
    <x:sheet xmlns:r="http://schemas.openxmlformats.org/officeDocument/2006/relationships" name="Lookup" sheetId="5" r:id="Rcc7a6699b6d24171"/>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6"/>
      <x:color rgb="FFFFFFFF"/>
      <x:name val="Carlito"/>
    </x:font>
    <x:font>
      <x:i/>
      <x:sz val="11"/>
      <x:color rgb="FF1F1F1F"/>
      <x:name val="Carlito"/>
    </x:font>
    <x:font>
      <x:b/>
      <x:sz val="11"/>
      <x:color rgb="FFFFFFFF"/>
      <x:name val="Carlito"/>
    </x:font>
  </x:fonts>
  <x:fills count="4">
    <x:fill>
      <x:patternFill patternType="none"/>
    </x:fill>
    <x:fill>
      <x:patternFill patternType="gray125"/>
    </x:fill>
    <x:fill>
      <x:patternFill patternType="solid">
        <x:fgColor rgb="FF1F4E79"/>
      </x:patternFill>
    </x:fill>
    <x:fill>
      <x:patternFill patternType="solid">
        <x:fgColor rgb="FFD9EAF7"/>
      </x:patternFill>
    </x:fill>
  </x:fills>
  <x:borders count="2">
    <x:border/>
    <x:border/>
  </x:borders>
  <x:cellStyleXfs count="1">
    <x:xf numFmtId="0" fontId="0" fillId="0" borderId="0"/>
  </x:cellStyleXfs>
  <x:cellXfs count="3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lef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3" fillId="2" borderId="1"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1" xfId="0" applyNumberFormat="1" applyFont="1" applyFill="1" applyBorder="1" applyAlignment="1">
      <x:alignment horizontal="center" wrapText="1"/>
    </x:xf>
  </x:cellXfs>
  <x:cellStyles count="1">
    <x:cellStyle name="Normal" xfId="0"/>
  </x:cellStyles>
  <x:dxfs count="6">
    <x:dxf>
      <x:fill>
        <x:patternFill patternType="solid">
          <x:bgColor rgb="FFFCE4D6"/>
        </x:patternFill>
      </x:fill>
    </x:dxf>
    <x:dxf>
      <x:fill>
        <x:patternFill patternType="solid">
          <x:bgColor rgb="FFFFF2CC"/>
        </x:patternFill>
      </x:fill>
    </x:dxf>
    <x:dxf>
      <x:fill>
        <x:patternFill patternType="solid">
          <x:bgColor rgb="FFE2F0D9"/>
        </x:patternFill>
      </x:fill>
    </x:dxf>
    <x:dxf>
      <x:fill>
        <x:patternFill patternType="solid">
          <x:bgColor rgb="FFFCE4D6"/>
        </x:patternFill>
      </x:fill>
    </x:dxf>
    <x:dxf>
      <x:fill>
        <x:patternFill patternType="solid">
          <x:bgColor rgb="FFFFF2CC"/>
        </x:patternFill>
      </x:fill>
    </x:dxf>
    <x:dxf>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e8150b1aa244bd" /><Relationship Type="http://schemas.openxmlformats.org/officeDocument/2006/relationships/theme" Target="/xl/theme/theme1.xml" Id="Re8881280d8594760" /><Relationship Type="http://schemas.openxmlformats.org/officeDocument/2006/relationships/sharedStrings" Target="/xl/sharedStrings.xml" Id="Rd433b67ce702402b" /><Relationship Type="http://schemas.openxmlformats.org/officeDocument/2006/relationships/worksheet" Target="/xl/worksheets/sheet1.xml" Id="R29c6fd6ee50542d5" /><Relationship Type="http://schemas.openxmlformats.org/officeDocument/2006/relationships/worksheet" Target="/xl/worksheets/sheet2.xml" Id="R16c2e183b61144da" /><Relationship Type="http://schemas.openxmlformats.org/officeDocument/2006/relationships/worksheet" Target="/xl/worksheets/sheet3.xml" Id="Rc600aa3fcc0941c5" /><Relationship Type="http://schemas.openxmlformats.org/officeDocument/2006/relationships/worksheet" Target="/xl/worksheets/sheet4.xml" Id="Rf4be47bd0adc4b62" /><Relationship Type="http://schemas.openxmlformats.org/officeDocument/2006/relationships/worksheet" Target="/xl/worksheets/sheet5.xml" Id="Rcc7a6699b6d241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43a6b8e9f00c4522" /><Relationship Type="http://schemas.openxmlformats.org/officeDocument/2006/relationships/chart" Target="/xl/drawings/charts/chart2.xml" Id="R44b71f022abb4b1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Gaps by Priority</a:t>
            </a:r>
          </a:p>
        </c:rich>
      </c:tx>
      <c:overlay val="0"/>
    </c:title>
    <c:autoTitleDeleted val="0"/>
    <c:plotArea>
      <c:layout/>
      <c:barChart>
        <c:barDir val="col"/>
        <c:varyColors val="0"/>
        <c:ser>
          <c:idx val="0"/>
          <c:order val="0"/>
          <c:tx>
            <c:v>Count</c:v>
          </c:tx>
          <c:cat>
            <c:strRef>
              <c:f>'Summary'!$A$26:$A$28</c:f>
              <c:strCache>
                <c:ptCount val="0"/>
              </c:strCache>
            </c:strRef>
          </c:cat>
          <c:val>
            <c:numRef>
              <c:f>'Summary'!$B$26:$B$28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Gaps by CSF Function</a:t>
            </a:r>
          </a:p>
        </c:rich>
      </c:tx>
      <c:overlay val="0"/>
    </c:title>
    <c:autoTitleDeleted val="0"/>
    <c:plotArea>
      <c:layout/>
      <c:barChart>
        <c:barDir val="col"/>
        <c:varyColors val="0"/>
        <c:ser>
          <c:idx val="0"/>
          <c:order val="0"/>
          <c:tx>
            <c:v>Count</c:v>
          </c:tx>
          <c:cat>
            <c:strRef>
              <c:f>'Summary'!$D$26:$D$31</c:f>
              <c:strCache>
                <c:ptCount val="0"/>
              </c:strCache>
            </c:strRef>
          </c:cat>
          <c:val>
            <c:numRef>
              <c:f>'Summary'!$E$26:$E$31</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3</xdr:row>
      <xdr:rowOff>0</xdr:rowOff>
    </xdr:from>
    <xdr:to>
      <xdr:col>12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3a6b8e9f00c4522"/>
        </a:graphicData>
      </a:graphic>
    </xdr:graphicFrame>
    <xdr:clientData/>
  </xdr:twoCellAnchor>
  <xdr:twoCellAnchor>
    <xdr:from>
      <xdr:col>7</xdr:col>
      <xdr:colOff>0</xdr:colOff>
      <xdr:row>19</xdr:row>
      <xdr:rowOff>0</xdr:rowOff>
    </xdr:from>
    <xdr:to>
      <xdr:col>12</xdr:col>
      <xdr:colOff>0</xdr:colOff>
      <xdr:row>34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4b71f022abb4b19"/>
        </a:graphicData>
      </a:graphic>
    </xdr:graphicFrame>
    <xdr:clientData/>
  </xdr:twoCellAnchor>
</xdr:wsDr>
</file>

<file path=xl/tables/table1.xml><?xml version="1.0" encoding="utf-8"?>
<x:table xmlns:x="http://schemas.openxmlformats.org/spreadsheetml/2006/main" id="1" name="NISTGapMappingTable" displayName="NISTGapMappingTable" ref="A1:N25" headerRowCount="1">
  <x:tableColumns count="14">
    <x:tableColumn id="1" name="Gap ID"/>
    <x:tableColumn id="2" name="NIST Category ID"/>
    <x:tableColumn id="3" name="Function"/>
    <x:tableColumn id="4" name="Category"/>
    <x:tableColumn id="5" name="Gap Statement"/>
    <x:tableColumn id="6" name="Current State"/>
    <x:tableColumn id="7" name="Target State"/>
    <x:tableColumn id="8" name="Current Maturity"/>
    <x:tableColumn id="9" name="Target Maturity"/>
    <x:tableColumn id="10" name="Priority"/>
    <x:tableColumn id="11" name="Gap Score"/>
    <x:tableColumn id="12" name="Business Impact"/>
    <x:tableColumn id="13" name="Recommendation"/>
    <x:tableColumn id="14" name="Owner"/>
  </x:tableColumns>
  <x:tableStyleInfo name="TableStyleMedium2" showRowStripes="1"/>
</x:table>
</file>

<file path=xl/tables/table2.xml><?xml version="1.0" encoding="utf-8"?>
<x:table xmlns:x="http://schemas.openxmlformats.org/spreadsheetml/2006/main" id="2" name="FindingsTable" displayName="FindingsTable" ref="A1:G9" headerRowCount="1">
  <x:tableColumns count="7">
    <x:tableColumn id="1" name="Finding ID"/>
    <x:tableColumn id="2" name="Risk Theme"/>
    <x:tableColumn id="3" name="Related Gap IDs"/>
    <x:tableColumn id="4" name="Priority"/>
    <x:tableColumn id="5" name="Business Risk"/>
    <x:tableColumn id="6" name="Recommended Response"/>
    <x:tableColumn id="7" name="Expected Outcom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843df27e7b249bb" /></Relationships>
</file>

<file path=xl/worksheets/_rels/sheet3.xml.rels>&#65279;<?xml version="1.0" encoding="utf-8"?><Relationships xmlns="http://schemas.openxmlformats.org/package/2006/relationships"><Relationship Type="http://schemas.openxmlformats.org/officeDocument/2006/relationships/table" Target="/xl/tables/table1.xml" Id="R1297ce2942874867" /></Relationships>
</file>

<file path=xl/worksheets/_rels/sheet4.xml.rels>&#65279;<?xml version="1.0" encoding="utf-8"?><Relationships xmlns="http://schemas.openxmlformats.org/package/2006/relationships"><Relationship Type="http://schemas.openxmlformats.org/officeDocument/2006/relationships/table" Target="/xl/tables/table2.xml" Id="R7bcdbcada822430c" /></Relationships>
</file>

<file path=xl/worksheets/sheet1.xml><?xml version="1.0" encoding="utf-8"?>
<x:worksheet xmlns:x="http://schemas.openxmlformats.org/spreadsheetml/2006/main">
  <x:sheetFormatPr defaultRowHeight="15"/>
  <x:cols>
    <x:col min="1" max="1" width="24" hidden="0" customWidth="1"/>
    <x:col min="2" max="2" width="28" hidden="0" customWidth="1"/>
    <x:col min="3" max="3" width="32" hidden="0" customWidth="1"/>
    <x:col min="4" max="4" width="18" hidden="0" customWidth="1"/>
    <x:col min="5" max="5" width="16" hidden="0" customWidth="1"/>
    <x:col min="6" max="6" width="14"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s>
  <x:sheetData>
    <x:row r="1" ht="28" customHeight="1">
      <x:c r="A1" s="5" t="str">
        <x:v>Midwest Precision Parts — NIST CSF Gap Assessment</x:v>
      </x:c>
    </x:row>
    <x:row r="2">
      <x:c r="A2" s="13" t="str">
        <x:v>Portfolio scenario: small manufacturing company assessed against NIST Cybersecurity Framework 2.0.</x:v>
      </x:c>
    </x:row>
    <x:row r="4">
      <x:c r="A4" s="18" t="str">
        <x:v>Assessment Snapshot</x:v>
      </x:c>
    </x:row>
    <x:row r="5">
      <x:c r="A5" t="str">
        <x:v>Company</x:v>
      </x:c>
      <x:c r="B5" t="str">
        <x:v>Midwest Precision Parts</x:v>
      </x:c>
      <x:c r="C5" t="str"/>
      <x:c r="D5" t="str"/>
    </x:row>
    <x:row r="6">
      <x:c r="A6" t="str">
        <x:v>Industry</x:v>
      </x:c>
      <x:c r="B6" t="str">
        <x:v>Small Manufacturing</x:v>
      </x:c>
      <x:c r="C6" t="str"/>
      <x:c r="D6" t="str"/>
    </x:row>
    <x:row r="7">
      <x:c r="A7" t="str">
        <x:v>Employees</x:v>
      </x:c>
      <x:c r="B7" t="n">
        <x:v>85</x:v>
      </x:c>
      <x:c r="C7" t="str"/>
      <x:c r="D7" t="str"/>
    </x:row>
    <x:row r="8">
      <x:c r="A8" t="str">
        <x:v>Framework</x:v>
      </x:c>
      <x:c r="B8" t="str">
        <x:v>NIST Cybersecurity Framework 2.0</x:v>
      </x:c>
      <x:c r="C8" t="str"/>
      <x:c r="D8" t="str"/>
    </x:row>
    <x:row r="9">
      <x:c r="A9" t="str">
        <x:v>Assessment Type</x:v>
      </x:c>
      <x:c r="B9" t="str">
        <x:v>Gap assessment based on fictional current state</x:v>
      </x:c>
      <x:c r="C9" t="str"/>
      <x:c r="D9" t="str"/>
    </x:row>
    <x:row r="10">
      <x:c r="A10" t="str">
        <x:v>Scope Exclusion</x:v>
      </x:c>
      <x:c r="B10" t="str">
        <x:v>Operational technology, industrial control systems, and physical plant equipment</x:v>
      </x:c>
      <x:c r="C10" t="str"/>
      <x:c r="D10" t="str"/>
    </x:row>
    <x:row r="11">
      <x:c r="A11" t="str">
        <x:v>Source</x:v>
      </x:c>
      <x:c r="B11" t="str">
        <x:v>https://www.nist.gov/cyberframework</x:v>
      </x:c>
      <x:c r="C11" t="str"/>
      <x:c r="D11" t="str"/>
    </x:row>
    <x:row r="13">
      <x:c r="A13" s="22" t="str">
        <x:v>KPI</x:v>
      </x:c>
      <x:c r="B13" s="22" t="str">
        <x:v>Value</x:v>
      </x:c>
      <x:c r="C13" s="22" t="str">
        <x:v>Formula / Notes</x:v>
      </x:c>
    </x:row>
    <x:row r="14">
      <x:c r="A14" t="str">
        <x:v>Total Gap Items</x:v>
      </x:c>
      <x:c r="B14" t="n">
        <x:f>COUNTA('NIST CSF Mapping'!A2:A200)</x:f>
        <x:v>24</x:v>
      </x:c>
      <x:c r="C14" t="str">
        <x:v>Count of rows in mapping table</x:v>
      </x:c>
    </x:row>
    <x:row r="15">
      <x:c r="A15" t="str">
        <x:v>High Priority Gaps</x:v>
      </x:c>
      <x:c r="B15" t="n">
        <x:f>COUNTIF('NIST CSF Mapping'!J2:J200,"High")</x:f>
        <x:v>13</x:v>
      </x:c>
      <x:c r="C15" t="str">
        <x:v>Priority = High</x:v>
      </x:c>
    </x:row>
    <x:row r="16">
      <x:c r="A16" t="str">
        <x:v>Medium Priority Gaps</x:v>
      </x:c>
      <x:c r="B16" t="n">
        <x:f>COUNTIF('NIST CSF Mapping'!J2:J200,"Medium")</x:f>
        <x:v>10</x:v>
      </x:c>
      <x:c r="C16" t="str">
        <x:v>Priority = Medium</x:v>
      </x:c>
    </x:row>
    <x:row r="17">
      <x:c r="A17" t="str">
        <x:v>Low Priority Gaps</x:v>
      </x:c>
      <x:c r="B17" t="n">
        <x:f>COUNTIF('NIST CSF Mapping'!J2:J200,"Low")</x:f>
        <x:v>1</x:v>
      </x:c>
      <x:c r="C17" t="str">
        <x:v>Priority = Low</x:v>
      </x:c>
    </x:row>
    <x:row r="18">
      <x:c r="A18" t="str">
        <x:v>Average Current Maturity</x:v>
      </x:c>
      <x:c r="B18" t="n">
        <x:f>ROUND(AVERAGE('NIST CSF Mapping'!H2:H200),1)</x:f>
        <x:v>1.2</x:v>
      </x:c>
      <x:c r="C18" t="str">
        <x:v>1 = ad hoc, 5 = optimized</x:v>
      </x:c>
    </x:row>
    <x:row r="19">
      <x:c r="A19" t="str">
        <x:v>Average Target Maturity</x:v>
      </x:c>
      <x:c r="B19" t="n">
        <x:f>ROUND(AVERAGE('NIST CSF Mapping'!I2:I200),1)</x:f>
        <x:v>3.3</x:v>
      </x:c>
      <x:c r="C19" t="str">
        <x:v>Target state for company size</x:v>
      </x:c>
    </x:row>
    <x:row r="20">
      <x:c r="A20" t="str">
        <x:v>Average Gap Score</x:v>
      </x:c>
      <x:c r="B20" t="n">
        <x:f>ROUND(AVERAGE('NIST CSF Mapping'!K2:K200),1)</x:f>
        <x:v>2</x:v>
      </x:c>
      <x:c r="C20" t="str">
        <x:v>Target minus current maturity</x:v>
      </x:c>
    </x:row>
    <x:row r="21">
      <x:c r="A21" t="str">
        <x:v>Largest Risk Theme</x:v>
      </x:c>
      <x:c r="B21" t="str">
        <x:v>Access, backup, incident response, and asset inventory</x:v>
      </x:c>
      <x:c r="C21" t="str">
        <x:v>Qualitative summary</x:v>
      </x:c>
    </x:row>
    <x:row r="22">
      <x:c r="A22" t="str">
        <x:v>Recommended Focus</x:v>
      </x:c>
      <x:c r="B22" t="str">
        <x:v>Close high-priority governance and recovery gaps first</x:v>
      </x:c>
      <x:c r="C22" t="str">
        <x:v>Leadership-ready recommendation</x:v>
      </x:c>
    </x:row>
    <x:row r="24">
      <x:c r="A24" s="18" t="str">
        <x:v>Priority Distribution</x:v>
      </x:c>
      <x:c r="D24" s="18" t="str">
        <x:v>Function Coverage</x:v>
      </x:c>
    </x:row>
    <x:row r="25">
      <x:c r="A25" s="22" t="str">
        <x:v>Priority</x:v>
      </x:c>
      <x:c r="B25" s="22" t="str">
        <x:v>Count</x:v>
      </x:c>
      <x:c r="D25" s="22" t="str">
        <x:v>Function</x:v>
      </x:c>
      <x:c r="E25" s="22" t="str">
        <x:v>Count</x:v>
      </x:c>
      <x:c r="F25" s="22" t="str">
        <x:v>Avg Gap</x:v>
      </x:c>
    </x:row>
    <x:row r="26">
      <x:c r="A26" t="str">
        <x:v>High</x:v>
      </x:c>
      <x:c r="B26" t="n">
        <x:f>COUNTIF('NIST CSF Mapping'!J:J,A26)</x:f>
        <x:v>13</x:v>
      </x:c>
      <x:c r="D26" t="str">
        <x:v>Govern</x:v>
      </x:c>
      <x:c r="E26" t="n">
        <x:f>COUNTIF('NIST CSF Mapping'!C:C,D26)</x:f>
        <x:v>4</x:v>
      </x:c>
      <x:c r="F26" t="n">
        <x:f>IFERROR(ROUND(SUMIF('NIST CSF Mapping'!C:C,D26,'NIST CSF Mapping'!K:K)/E26,1),0)</x:f>
        <x:v>2</x:v>
      </x:c>
    </x:row>
    <x:row r="27">
      <x:c r="A27" t="str">
        <x:v>Medium</x:v>
      </x:c>
      <x:c r="B27" t="n">
        <x:f>COUNTIF('NIST CSF Mapping'!J:J,A27)</x:f>
        <x:v>10</x:v>
      </x:c>
      <x:c r="D27" t="str">
        <x:v>Identify</x:v>
      </x:c>
      <x:c r="E27" t="n">
        <x:f>COUNTIF('NIST CSF Mapping'!C:C,D27)</x:f>
        <x:v>4</x:v>
      </x:c>
      <x:c r="F27" t="n">
        <x:f>IFERROR(ROUND(SUMIF('NIST CSF Mapping'!C:C,D27,'NIST CSF Mapping'!K:K)/E27,1),0)</x:f>
        <x:v>2.3</x:v>
      </x:c>
    </x:row>
    <x:row r="28">
      <x:c r="A28" t="str">
        <x:v>Low</x:v>
      </x:c>
      <x:c r="B28" t="n">
        <x:f>COUNTIF('NIST CSF Mapping'!J:J,A28)</x:f>
        <x:v>1</x:v>
      </x:c>
      <x:c r="D28" t="str">
        <x:v>Protect</x:v>
      </x:c>
      <x:c r="E28" t="n">
        <x:f>COUNTIF('NIST CSF Mapping'!C:C,D28)</x:f>
        <x:v>9</x:v>
      </x:c>
      <x:c r="F28" t="n">
        <x:f>IFERROR(ROUND(SUMIF('NIST CSF Mapping'!C:C,D28,'NIST CSF Mapping'!K:K)/E28,1),0)</x:f>
        <x:v>1.9</x:v>
      </x:c>
    </x:row>
    <x:row r="29">
      <x:c r="D29" t="str">
        <x:v>Detect</x:v>
      </x:c>
      <x:c r="E29" t="n">
        <x:f>COUNTIF('NIST CSF Mapping'!C:C,D29)</x:f>
        <x:v>2</x:v>
      </x:c>
      <x:c r="F29" t="n">
        <x:f>IFERROR(ROUND(SUMIF('NIST CSF Mapping'!C:C,D29,'NIST CSF Mapping'!K:K)/E29,1),0)</x:f>
        <x:v>2</x:v>
      </x:c>
    </x:row>
    <x:row r="30">
      <x:c r="D30" t="str">
        <x:v>Respond</x:v>
      </x:c>
      <x:c r="E30" t="n">
        <x:f>COUNTIF('NIST CSF Mapping'!C:C,D30)</x:f>
        <x:v>3</x:v>
      </x:c>
      <x:c r="F30" t="n">
        <x:f>IFERROR(ROUND(SUMIF('NIST CSF Mapping'!C:C,D30,'NIST CSF Mapping'!K:K)/E30,1),0)</x:f>
        <x:v>2.3</x:v>
      </x:c>
    </x:row>
    <x:row r="31">
      <x:c r="D31" t="str">
        <x:v>Recover</x:v>
      </x:c>
      <x:c r="E31" t="n">
        <x:f>COUNTIF('NIST CSF Mapping'!C:C,D31)</x:f>
        <x:v>2</x:v>
      </x:c>
      <x:c r="F31" t="n">
        <x:f>IFERROR(ROUND(SUMIF('NIST CSF Mapping'!C:C,D31,'NIST CSF Mapping'!K:K)/E31,1),0)</x:f>
        <x:v>2</x:v>
      </x:c>
    </x:row>
    <x:row r="33">
      <x:c r="A33" s="18" t="str">
        <x:v>Executive Summary</x:v>
      </x:c>
    </x:row>
    <x:row r="34">
      <x:c r="A34" s="26" t="str">
        <x:v>Midwest Precision Parts has several foundational cybersecurity practices in place, but the assessment identified material gaps in asset inventory, access governance, backup testing, incident response, vendor risk, and security ownership. The recommended approach is to address high-priority gaps first through lightweight governance, access reviews, MFA expansion, restore testing, and a basic incident response plan before investing in more advanced controls.</x:v>
      </x:c>
    </x:row>
  </x:sheetData>
  <x:mergeCells>
    <x:mergeCell ref="A1:L1"/>
    <x:mergeCell ref="A2:L2"/>
    <x:mergeCell ref="A4:D4"/>
    <x:mergeCell ref="A24:C24"/>
    <x:mergeCell ref="D24:F24"/>
    <x:mergeCell ref="A33:L33"/>
    <x:mergeCell ref="A34:L36"/>
  </x:mergeCells>
  <x:pageMargins left="0.7" right="0.7" top="0.75" bottom="0.75" header="0.3" footer="0.3"/>
  <x:drawing xmlns:r="http://schemas.openxmlformats.org/officeDocument/2006/relationships" r:id="R2843df27e7b249bb"/>
</x:worksheet>
</file>

<file path=xl/worksheets/sheet2.xml><?xml version="1.0" encoding="utf-8"?>
<x:worksheet xmlns:x="http://schemas.openxmlformats.org/spreadsheetml/2006/main">
  <x:sheetFormatPr defaultRowHeight="15"/>
  <x:cols>
    <x:col min="1" max="1" width="24" hidden="0" customWidth="1"/>
    <x:col min="2" max="2" width="82" hidden="0" customWidth="1"/>
  </x:cols>
  <x:sheetData>
    <x:row r="1" ht="28" customHeight="1">
      <x:c r="A1" s="5" t="str">
        <x:v>Instructions</x:v>
      </x:c>
    </x:row>
    <x:row r="2">
      <x:c r="A2" s="13" t="str">
        <x:v>How to read and use this workbook.</x:v>
      </x:c>
    </x:row>
    <x:row r="4">
      <x:c r="A4" s="22" t="str">
        <x:v>Workbook purpose</x:v>
      </x:c>
      <x:c r="B4" s="22" t="str">
        <x:v>This workbook maps fictional current-state security practices to NIST CSF 2.0 functions and categories.</x:v>
      </x:c>
    </x:row>
    <x:row r="5">
      <x:c r="A5" s="26" t="str">
        <x:v>Current Maturity</x:v>
      </x:c>
      <x:c r="B5" s="26" t="str">
        <x:v>1 = ad hoc or missing; 2 = informal; 3 = defined; 4 = managed/measured; 5 = optimized.</x:v>
      </x:c>
    </x:row>
    <x:row r="6">
      <x:c r="A6" s="26" t="str">
        <x:v>Target Maturity</x:v>
      </x:c>
      <x:c r="B6" s="26" t="str">
        <x:v>A realistic near-term maturity target for a small manufacturer.</x:v>
      </x:c>
    </x:row>
    <x:row r="7">
      <x:c r="A7" s="26" t="str">
        <x:v>Gap Score</x:v>
      </x:c>
      <x:c r="B7" s="26" t="str">
        <x:v>Target Maturity minus Current Maturity. Larger numbers indicate larger gaps.</x:v>
      </x:c>
    </x:row>
    <x:row r="8">
      <x:c r="A8" s="26" t="str">
        <x:v>Priority</x:v>
      </x:c>
      <x:c r="B8" s="26" t="str">
        <x:v>High, Medium, or Low based on business impact and urgency.</x:v>
      </x:c>
    </x:row>
    <x:row r="9">
      <x:c r="A9" s="26" t="str">
        <x:v>Evidence</x:v>
      </x:c>
      <x:c r="B9" s="26" t="str">
        <x:v>Fictional stakeholder representations or document observations for portfolio purposes.</x:v>
      </x:c>
    </x:row>
    <x:row r="10">
      <x:c r="A10" s="26" t="str">
        <x:v>Recommendations</x:v>
      </x:c>
      <x:c r="B10" s="26" t="str">
        <x:v>Practical remediation actions that a small business could reasonably begin.</x:v>
      </x:c>
    </x:row>
    <x:row r="11">
      <x:c r="A11" s="26" t="str">
        <x:v>Source</x:v>
      </x:c>
      <x:c r="B11" s="26" t="str">
        <x:v>https://www.nist.gov/cyberframework</x:v>
      </x:c>
    </x:row>
    <x:row r="12">
      <x:c r="A12" s="26" t="str">
        <x:v>Disclaimer</x:v>
      </x:c>
      <x:c r="B12" s="26" t="str">
        <x:v>This is fictional portfolio work and does not represent any real company or client.</x:v>
      </x:c>
    </x:row>
  </x:sheetData>
  <x:mergeCells>
    <x:mergeCell ref="A1:H1"/>
    <x:mergeCell ref="A2:L2"/>
  </x:mergeCells>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13" hidden="0" customWidth="1"/>
    <x:col min="3" max="3" width="12" hidden="0" customWidth="1"/>
    <x:col min="4" max="4" width="28" hidden="0" customWidth="1"/>
    <x:col min="5" max="5" width="40" hidden="0" customWidth="1"/>
    <x:col min="6" max="6" width="42" hidden="0" customWidth="1"/>
    <x:col min="7" max="7" width="42" hidden="0" customWidth="1"/>
    <x:col min="8" max="8" width="12" hidden="0" customWidth="1"/>
    <x:col min="9" max="9" width="12" hidden="0" customWidth="1"/>
    <x:col min="10" max="10" width="10" hidden="0" customWidth="1"/>
    <x:col min="11" max="11" width="10" hidden="0" customWidth="1"/>
    <x:col min="12" max="12" width="42" hidden="0" customWidth="1"/>
    <x:col min="13" max="13" width="46" hidden="0" customWidth="1"/>
    <x:col min="14" max="14" width="20" hidden="0" customWidth="1"/>
  </x:cols>
  <x:sheetData>
    <x:row r="1">
      <x:c r="A1" s="22" t="str">
        <x:v>Gap ID</x:v>
      </x:c>
      <x:c r="B1" s="22" t="str">
        <x:v>NIST Category ID</x:v>
      </x:c>
      <x:c r="C1" s="22" t="str">
        <x:v>Function</x:v>
      </x:c>
      <x:c r="D1" s="22" t="str">
        <x:v>Category</x:v>
      </x:c>
      <x:c r="E1" s="22" t="str">
        <x:v>Gap Statement</x:v>
      </x:c>
      <x:c r="F1" s="22" t="str">
        <x:v>Current State</x:v>
      </x:c>
      <x:c r="G1" s="22" t="str">
        <x:v>Target State</x:v>
      </x:c>
      <x:c r="H1" s="22" t="str">
        <x:v>Current Maturity</x:v>
      </x:c>
      <x:c r="I1" s="22" t="str">
        <x:v>Target Maturity</x:v>
      </x:c>
      <x:c r="J1" s="22" t="str">
        <x:v>Priority</x:v>
      </x:c>
      <x:c r="K1" s="22" t="str">
        <x:v>Gap Score</x:v>
      </x:c>
      <x:c r="L1" s="22" t="str">
        <x:v>Business Impact</x:v>
      </x:c>
      <x:c r="M1" s="22" t="str">
        <x:v>Recommendation</x:v>
      </x:c>
      <x:c r="N1" s="22" t="str">
        <x:v>Owner</x:v>
      </x:c>
    </x:row>
    <x:row r="2">
      <x:c r="A2" s="26" t="str">
        <x:v>GA-001</x:v>
      </x:c>
      <x:c r="B2" s="26" t="str">
        <x:v>GV.RR</x:v>
      </x:c>
      <x:c r="C2" s="26" t="str">
        <x:v>Govern</x:v>
      </x:c>
      <x:c r="D2" s="26" t="str">
        <x:v>Roles, Responsibilities, and Authorities</x:v>
      </x:c>
      <x:c r="E2" s="26" t="str">
        <x:v>No single owner is accountable for cybersecurity decisions or remediation follow-up.</x:v>
      </x:c>
      <x:c r="F2" s="26" t="str">
        <x:v>Current responsibilities are informal and split between operations, finance, and external IT.</x:v>
      </x:c>
      <x:c r="G2" s="26" t="str">
        <x:v>Documented cybersecurity ownership and escalation path approved by leadership.</x:v>
      </x:c>
      <x:c r="H2" s="28" t="n">
        <x:v>1</x:v>
      </x:c>
      <x:c r="I2" s="28" t="n">
        <x:v>3</x:v>
      </x:c>
      <x:c r="J2" s="28" t="str">
        <x:v>High</x:v>
      </x:c>
      <x:c r="K2" s="28" t="n">
        <x:f>I2-H2</x:f>
        <x:v>2</x:v>
      </x:c>
      <x:c r="L2" s="26" t="str">
        <x:v>Assign an internal risk owner and define who approves access, policies, vendor reviews, and incident response decisions.</x:v>
      </x:c>
      <x:c r="M2" s="26" t="str">
        <x:v>Leadership / Operations</x:v>
      </x:c>
      <x:c r="N2" s="26"/>
    </x:row>
    <x:row r="3">
      <x:c r="A3" s="26" t="str">
        <x:v>GA-002</x:v>
      </x:c>
      <x:c r="B3" s="26" t="str">
        <x:v>GV.PO</x:v>
      </x:c>
      <x:c r="C3" s="26" t="str">
        <x:v>Govern</x:v>
      </x:c>
      <x:c r="D3" s="26" t="str">
        <x:v>Policy</x:v>
      </x:c>
      <x:c r="E3" s="26" t="str">
        <x:v>Security policies are outdated or missing for acceptable use, passwords, access, and incident reporting.</x:v>
      </x:c>
      <x:c r="F3" s="26" t="str">
        <x:v>Employees rely on informal practices and verbal expectations.</x:v>
      </x:c>
      <x:c r="G3" s="26" t="str">
        <x:v>Approved, version-controlled policies reviewed annually.</x:v>
      </x:c>
      <x:c r="H3" s="28" t="n">
        <x:v>1</x:v>
      </x:c>
      <x:c r="I3" s="28" t="n">
        <x:v>3</x:v>
      </x:c>
      <x:c r="J3" s="28" t="str">
        <x:v>Medium</x:v>
      </x:c>
      <x:c r="K3" s="28" t="n">
        <x:f>I3-H3</x:f>
        <x:v>2</x:v>
      </x:c>
      <x:c r="L3" s="26" t="str">
        <x:v>Create a small policy set covering acceptable use, password/access expectations, incident reporting, and data handling.</x:v>
      </x:c>
      <x:c r="M3" s="26" t="str">
        <x:v>Operations / HR</x:v>
      </x:c>
      <x:c r="N3" s="26"/>
    </x:row>
    <x:row r="4">
      <x:c r="A4" s="26" t="str">
        <x:v>GA-003</x:v>
      </x:c>
      <x:c r="B4" s="26" t="str">
        <x:v>GV.SC</x:v>
      </x:c>
      <x:c r="C4" s="26" t="str">
        <x:v>Govern</x:v>
      </x:c>
      <x:c r="D4" s="26" t="str">
        <x:v>Cybersecurity Supply Chain Risk Management</x:v>
      </x:c>
      <x:c r="E4" s="26" t="str">
        <x:v>Vendor risk is not formally reviewed before onboarding or renewal.</x:v>
      </x:c>
      <x:c r="F4" s="26" t="str">
        <x:v>Vendor portal and cloud application risks are handled case by case.</x:v>
      </x:c>
      <x:c r="G4" s="26" t="str">
        <x:v>Lightweight vendor inventory and risk review for critical vendors.</x:v>
      </x:c>
      <x:c r="H4" s="28" t="n">
        <x:v>1</x:v>
      </x:c>
      <x:c r="I4" s="28" t="n">
        <x:v>3</x:v>
      </x:c>
      <x:c r="J4" s="28" t="str">
        <x:v>High</x:v>
      </x:c>
      <x:c r="K4" s="28" t="n">
        <x:f>I4-H4</x:f>
        <x:v>2</x:v>
      </x:c>
      <x:c r="L4" s="26" t="str">
        <x:v>Create a vendor inventory and review critical vendors for MFA, data access, contracts, and incident notification terms.</x:v>
      </x:c>
      <x:c r="M4" s="26" t="str">
        <x:v>Finance / Operations</x:v>
      </x:c>
      <x:c r="N4" s="26"/>
    </x:row>
    <x:row r="5">
      <x:c r="A5" s="26" t="str">
        <x:v>GA-004</x:v>
      </x:c>
      <x:c r="B5" s="26" t="str">
        <x:v>GV.OV</x:v>
      </x:c>
      <x:c r="C5" s="26" t="str">
        <x:v>Govern</x:v>
      </x:c>
      <x:c r="D5" s="26" t="str">
        <x:v>Oversight</x:v>
      </x:c>
      <x:c r="E5" s="26" t="str">
        <x:v>Leadership does not receive regular cybersecurity risk reporting.</x:v>
      </x:c>
      <x:c r="F5" s="26" t="str">
        <x:v>Security issues are discussed only when a problem occurs.</x:v>
      </x:c>
      <x:c r="G5" s="26" t="str">
        <x:v>Quarterly cyber risk summary reviewed by leadership.</x:v>
      </x:c>
      <x:c r="H5" s="28" t="n">
        <x:v>1</x:v>
      </x:c>
      <x:c r="I5" s="28" t="n">
        <x:v>3</x:v>
      </x:c>
      <x:c r="J5" s="28" t="str">
        <x:v>Medium</x:v>
      </x:c>
      <x:c r="K5" s="28" t="n">
        <x:f>I5-H5</x:f>
        <x:v>2</x:v>
      </x:c>
      <x:c r="L5" s="26" t="str">
        <x:v>Create a quarterly cybersecurity dashboard covering top risks, remediation status, phishing training, backup testing, and access reviews.</x:v>
      </x:c>
      <x:c r="M5" s="26" t="str">
        <x:v>Cybersecurity Owner</x:v>
      </x:c>
      <x:c r="N5" s="26"/>
    </x:row>
    <x:row r="6">
      <x:c r="A6" s="26" t="str">
        <x:v>GA-005</x:v>
      </x:c>
      <x:c r="B6" s="26" t="str">
        <x:v>ID.AM</x:v>
      </x:c>
      <x:c r="C6" s="26" t="str">
        <x:v>Identify</x:v>
      </x:c>
      <x:c r="D6" s="26" t="str">
        <x:v>Asset Management</x:v>
      </x:c>
      <x:c r="E6" s="26" t="str">
        <x:v>Asset inventory is incomplete for laptops, production workstations, shared drives, and cloud apps.</x:v>
      </x:c>
      <x:c r="F6" s="26" t="str">
        <x:v>Some devices and applications are tracked through purchasing records, but there is no central inventory.</x:v>
      </x:c>
      <x:c r="G6" s="26" t="str">
        <x:v>Central inventory for users, endpoints, critical applications, shared storage, and vendors.</x:v>
      </x:c>
      <x:c r="H6" s="28" t="n">
        <x:v>1</x:v>
      </x:c>
      <x:c r="I6" s="28" t="n">
        <x:v>4</x:v>
      </x:c>
      <x:c r="J6" s="28" t="str">
        <x:v>High</x:v>
      </x:c>
      <x:c r="K6" s="28" t="n">
        <x:f>I6-H6</x:f>
        <x:v>3</x:v>
      </x:c>
      <x:c r="L6" s="26" t="str">
        <x:v>Build a central asset inventory and assign owners for critical systems and data stores.</x:v>
      </x:c>
      <x:c r="M6" s="26" t="str">
        <x:v>IT / Operations</x:v>
      </x:c>
      <x:c r="N6" s="26"/>
    </x:row>
    <x:row r="7">
      <x:c r="A7" s="26" t="str">
        <x:v>GA-006</x:v>
      </x:c>
      <x:c r="B7" s="26" t="str">
        <x:v>ID.AM</x:v>
      </x:c>
      <x:c r="C7" s="26" t="str">
        <x:v>Identify</x:v>
      </x:c>
      <x:c r="D7" s="26" t="str">
        <x:v>Asset Management</x:v>
      </x:c>
      <x:c r="E7" s="26" t="str">
        <x:v>Business-critical data locations are not formally documented.</x:v>
      </x:c>
      <x:c r="F7" s="26" t="str">
        <x:v>Customer files, drawings, finance documents, and operational data are stored across shared folders and cloud tools.</x:v>
      </x:c>
      <x:c r="G7" s="26" t="str">
        <x:v>Documented data locations with owners and handling expectations.</x:v>
      </x:c>
      <x:c r="H7" s="28" t="n">
        <x:v>1</x:v>
      </x:c>
      <x:c r="I7" s="28" t="n">
        <x:v>3</x:v>
      </x:c>
      <x:c r="J7" s="28" t="str">
        <x:v>Medium</x:v>
      </x:c>
      <x:c r="K7" s="28" t="n">
        <x:f>I7-H7</x:f>
        <x:v>2</x:v>
      </x:c>
      <x:c r="L7" s="26" t="str">
        <x:v>Map critical business data locations and define owner, sensitivity, backup status, and access requirements.</x:v>
      </x:c>
      <x:c r="M7" s="26" t="str">
        <x:v>Operations / Finance</x:v>
      </x:c>
      <x:c r="N7" s="26"/>
    </x:row>
    <x:row r="8">
      <x:c r="A8" s="26" t="str">
        <x:v>GA-007</x:v>
      </x:c>
      <x:c r="B8" s="26" t="str">
        <x:v>ID.RA</x:v>
      </x:c>
      <x:c r="C8" s="26" t="str">
        <x:v>Identify</x:v>
      </x:c>
      <x:c r="D8" s="26" t="str">
        <x:v>Risk Assessment</x:v>
      </x:c>
      <x:c r="E8" s="26" t="str">
        <x:v>The company has not performed a formal cybersecurity risk assessment.</x:v>
      </x:c>
      <x:c r="F8" s="26" t="str">
        <x:v>Risk decisions are reactive and based on immediate problems.</x:v>
      </x:c>
      <x:c r="G8" s="26" t="str">
        <x:v>Annual lightweight cybersecurity risk assessment tied to business impact.</x:v>
      </x:c>
      <x:c r="H8" s="28" t="n">
        <x:v>1</x:v>
      </x:c>
      <x:c r="I8" s="28" t="n">
        <x:v>3</x:v>
      </x:c>
      <x:c r="J8" s="28" t="str">
        <x:v>High</x:v>
      </x:c>
      <x:c r="K8" s="28" t="n">
        <x:f>I8-H8</x:f>
        <x:v>2</x:v>
      </x:c>
      <x:c r="L8" s="26" t="str">
        <x:v>Perform an annual risk assessment using a simple risk register and leadership review process.</x:v>
      </x:c>
      <x:c r="M8" s="26" t="str">
        <x:v>Cybersecurity Owner</x:v>
      </x:c>
      <x:c r="N8" s="26"/>
    </x:row>
    <x:row r="9">
      <x:c r="A9" s="26" t="str">
        <x:v>GA-008</x:v>
      </x:c>
      <x:c r="B9" s="26" t="str">
        <x:v>PR.AA</x:v>
      </x:c>
      <x:c r="C9" s="26" t="str">
        <x:v>Protect</x:v>
      </x:c>
      <x:c r="D9" s="26" t="str">
        <x:v>Identity Management, Authentication, and Access Control</x:v>
      </x:c>
      <x:c r="E9" s="26" t="str">
        <x:v>User access reviews are inconsistent and not documented.</x:v>
      </x:c>
      <x:c r="F9" s="26" t="str">
        <x:v>Access is usually changed when someone requests it, but periodic reviews are not performed.</x:v>
      </x:c>
      <x:c r="G9" s="26" t="str">
        <x:v>Quarterly access review for critical systems and shared storage.</x:v>
      </x:c>
      <x:c r="H9" s="28" t="n">
        <x:v>1</x:v>
      </x:c>
      <x:c r="I9" s="28" t="n">
        <x:v>4</x:v>
      </x:c>
      <x:c r="J9" s="28" t="str">
        <x:v>High</x:v>
      </x:c>
      <x:c r="K9" s="28" t="n">
        <x:f>I9-H9</x:f>
        <x:v>3</x:v>
      </x:c>
      <x:c r="L9" s="26" t="str">
        <x:v>Implement quarterly access reviews for shared drives, finance tools, vendor portals, and cloud applications.</x:v>
      </x:c>
      <x:c r="M9" s="26" t="str">
        <x:v>Managers / IT</x:v>
      </x:c>
      <x:c r="N9" s="26"/>
    </x:row>
    <x:row r="10">
      <x:c r="A10" s="26" t="str">
        <x:v>GA-009</x:v>
      </x:c>
      <x:c r="B10" s="26" t="str">
        <x:v>PR.AA</x:v>
      </x:c>
      <x:c r="C10" s="26" t="str">
        <x:v>Protect</x:v>
      </x:c>
      <x:c r="D10" s="26" t="str">
        <x:v>Identity Management, Authentication, and Access Control</x:v>
      </x:c>
      <x:c r="E10" s="26" t="str">
        <x:v>MFA is not consistently enforced across cloud applications and vendor portals.</x:v>
      </x:c>
      <x:c r="F10" s="26" t="str">
        <x:v>Some applications use MFA, but coverage depends on the platform and user group.</x:v>
      </x:c>
      <x:c r="G10" s="26" t="str">
        <x:v>MFA enforced for email, cloud apps, remote access, and critical vendor portals.</x:v>
      </x:c>
      <x:c r="H10" s="28" t="n">
        <x:v>2</x:v>
      </x:c>
      <x:c r="I10" s="28" t="n">
        <x:v>4</x:v>
      </x:c>
      <x:c r="J10" s="28" t="str">
        <x:v>High</x:v>
      </x:c>
      <x:c r="K10" s="28" t="n">
        <x:f>I10-H10</x:f>
        <x:v>2</x:v>
      </x:c>
      <x:c r="L10" s="26" t="str">
        <x:v>Require MFA for all externally accessible and business-critical systems.</x:v>
      </x:c>
      <x:c r="M10" s="26" t="str">
        <x:v>IT</x:v>
      </x:c>
      <x:c r="N10" s="26"/>
    </x:row>
    <x:row r="11">
      <x:c r="A11" s="26" t="str">
        <x:v>GA-010</x:v>
      </x:c>
      <x:c r="B11" s="26" t="str">
        <x:v>PR.AA</x:v>
      </x:c>
      <x:c r="C11" s="26" t="str">
        <x:v>Protect</x:v>
      </x:c>
      <x:c r="D11" s="26" t="str">
        <x:v>Identity Management, Authentication, and Access Control</x:v>
      </x:c>
      <x:c r="E11" s="26" t="str">
        <x:v>Joiner, mover, and leaver access changes are not tracked in a standard workflow.</x:v>
      </x:c>
      <x:c r="F11" s="26" t="str">
        <x:v>HR and managers notify IT informally.</x:v>
      </x:c>
      <x:c r="G11" s="26" t="str">
        <x:v>Documented access request and termination process with evidence retained.</x:v>
      </x:c>
      <x:c r="H11" s="28" t="n">
        <x:v>1</x:v>
      </x:c>
      <x:c r="I11" s="28" t="n">
        <x:v>3</x:v>
      </x:c>
      <x:c r="J11" s="28" t="str">
        <x:v>High</x:v>
      </x:c>
      <x:c r="K11" s="28" t="n">
        <x:f>I11-H11</x:f>
        <x:v>2</x:v>
      </x:c>
      <x:c r="L11" s="26" t="str">
        <x:v>Create a simple access request/deprovisioning form and retain evidence of completion.</x:v>
      </x:c>
      <x:c r="M11" s="26" t="str">
        <x:v>HR / IT</x:v>
      </x:c>
      <x:c r="N11" s="26"/>
    </x:row>
    <x:row r="12">
      <x:c r="A12" s="26" t="str">
        <x:v>GA-011</x:v>
      </x:c>
      <x:c r="B12" s="26" t="str">
        <x:v>PR.AT</x:v>
      </x:c>
      <x:c r="C12" s="26" t="str">
        <x:v>Protect</x:v>
      </x:c>
      <x:c r="D12" s="26" t="str">
        <x:v>Awareness and Training</x:v>
      </x:c>
      <x:c r="E12" s="26" t="str">
        <x:v>Security awareness and phishing training are limited.</x:v>
      </x:c>
      <x:c r="F12" s="26" t="str">
        <x:v>Employees receive informal reminders but no structured training program.</x:v>
      </x:c>
      <x:c r="G12" s="26" t="str">
        <x:v>Annual awareness training plus periodic phishing-focused reminders.</x:v>
      </x:c>
      <x:c r="H12" s="28" t="n">
        <x:v>1</x:v>
      </x:c>
      <x:c r="I12" s="28" t="n">
        <x:v>3</x:v>
      </x:c>
      <x:c r="J12" s="28" t="str">
        <x:v>Medium</x:v>
      </x:c>
      <x:c r="K12" s="28" t="n">
        <x:f>I12-H12</x:f>
        <x:v>2</x:v>
      </x:c>
      <x:c r="L12" s="26" t="str">
        <x:v>Launch annual training and quarterly phishing reminders focused on ransomware and business email compromise.</x:v>
      </x:c>
      <x:c r="M12" s="26" t="str">
        <x:v>HR / Cybersecurity Owner</x:v>
      </x:c>
      <x:c r="N12" s="26"/>
    </x:row>
    <x:row r="13">
      <x:c r="A13" s="26" t="str">
        <x:v>GA-012</x:v>
      </x:c>
      <x:c r="B13" s="26" t="str">
        <x:v>PR.DS</x:v>
      </x:c>
      <x:c r="C13" s="26" t="str">
        <x:v>Protect</x:v>
      </x:c>
      <x:c r="D13" s="26" t="str">
        <x:v>Data Security</x:v>
      </x:c>
      <x:c r="E13" s="26" t="str">
        <x:v>Sensitive shared folders do not consistently follow least-privilege access.</x:v>
      </x:c>
      <x:c r="F13" s="26" t="str">
        <x:v>Department folders are broad and permissions are not reviewed regularly.</x:v>
      </x:c>
      <x:c r="G13" s="26" t="str">
        <x:v>Access limited by role and reviewed at least quarterly for sensitive folders.</x:v>
      </x:c>
      <x:c r="H13" s="28" t="n">
        <x:v>2</x:v>
      </x:c>
      <x:c r="I13" s="28" t="n">
        <x:v>4</x:v>
      </x:c>
      <x:c r="J13" s="28" t="str">
        <x:v>High</x:v>
      </x:c>
      <x:c r="K13" s="28" t="n">
        <x:f>I13-H13</x:f>
        <x:v>2</x:v>
      </x:c>
      <x:c r="L13" s="26" t="str">
        <x:v>Review shared folder permissions and remove broad or legacy access groups.</x:v>
      </x:c>
      <x:c r="M13" s="26" t="str">
        <x:v>IT / Department Managers</x:v>
      </x:c>
      <x:c r="N13" s="26"/>
    </x:row>
    <x:row r="14">
      <x:c r="A14" s="26" t="str">
        <x:v>GA-013</x:v>
      </x:c>
      <x:c r="B14" s="26" t="str">
        <x:v>PR.PS</x:v>
      </x:c>
      <x:c r="C14" s="26" t="str">
        <x:v>Protect</x:v>
      </x:c>
      <x:c r="D14" s="26" t="str">
        <x:v>Platform Security</x:v>
      </x:c>
      <x:c r="E14" s="26" t="str">
        <x:v>Endpoint patching and configuration standards are not formally documented.</x:v>
      </x:c>
      <x:c r="F14" s="26" t="str">
        <x:v>External IT applies updates, but reporting and standards are limited.</x:v>
      </x:c>
      <x:c r="G14" s="26" t="str">
        <x:v>Documented endpoint baseline with patch reporting and exception tracking.</x:v>
      </x:c>
      <x:c r="H14" s="28" t="n">
        <x:v>2</x:v>
      </x:c>
      <x:c r="I14" s="28" t="n">
        <x:v>3</x:v>
      </x:c>
      <x:c r="J14" s="28" t="str">
        <x:v>Medium</x:v>
      </x:c>
      <x:c r="K14" s="28" t="n">
        <x:f>I14-H14</x:f>
        <x:v>1</x:v>
      </x:c>
      <x:c r="L14" s="26" t="str">
        <x:v>Document patch expectations and require monthly patch status reporting for endpoints and servers.</x:v>
      </x:c>
      <x:c r="M14" s="26" t="str">
        <x:v>IT</x:v>
      </x:c>
      <x:c r="N14" s="26"/>
    </x:row>
    <x:row r="15">
      <x:c r="A15" s="26" t="str">
        <x:v>GA-014</x:v>
      </x:c>
      <x:c r="B15" s="26" t="str">
        <x:v>PR.PS</x:v>
      </x:c>
      <x:c r="C15" s="26" t="str">
        <x:v>Protect</x:v>
      </x:c>
      <x:c r="D15" s="26" t="str">
        <x:v>Platform Security</x:v>
      </x:c>
      <x:c r="E15" s="26" t="str">
        <x:v>Endpoint protection coverage is not regularly verified.</x:v>
      </x:c>
      <x:c r="F15" s="26" t="str">
        <x:v>Antivirus/EDR tools exist, but there is no routine coverage report.</x:v>
      </x:c>
      <x:c r="G15" s="26" t="str">
        <x:v>Monthly coverage report for endpoint protection status.</x:v>
      </x:c>
      <x:c r="H15" s="28" t="n">
        <x:v>2</x:v>
      </x:c>
      <x:c r="I15" s="28" t="n">
        <x:v>3</x:v>
      </x:c>
      <x:c r="J15" s="28" t="str">
        <x:v>Medium</x:v>
      </x:c>
      <x:c r="K15" s="28" t="n">
        <x:f>I15-H15</x:f>
        <x:v>1</x:v>
      </x:c>
      <x:c r="L15" s="26" t="str">
        <x:v>Validate endpoint protection coverage and investigate systems missing agents or recent check-ins.</x:v>
      </x:c>
      <x:c r="M15" s="26" t="str">
        <x:v>IT</x:v>
      </x:c>
      <x:c r="N15" s="26"/>
    </x:row>
    <x:row r="16">
      <x:c r="A16" s="26" t="str">
        <x:v>GA-015</x:v>
      </x:c>
      <x:c r="B16" s="26" t="str">
        <x:v>PR.IR</x:v>
      </x:c>
      <x:c r="C16" s="26" t="str">
        <x:v>Protect</x:v>
      </x:c>
      <x:c r="D16" s="26" t="str">
        <x:v>Technology Infrastructure Resilience</x:v>
      </x:c>
      <x:c r="E16" s="26" t="str">
        <x:v>Backups exist but restoration is not regularly tested.</x:v>
      </x:c>
      <x:c r="F16" s="26" t="str">
        <x:v>Backup jobs are assumed to run successfully; test restores are rare or undocumented.</x:v>
      </x:c>
      <x:c r="G16" s="26" t="str">
        <x:v>Documented backup schedule with quarterly restore testing.</x:v>
      </x:c>
      <x:c r="H16" s="28" t="n">
        <x:v>2</x:v>
      </x:c>
      <x:c r="I16" s="28" t="n">
        <x:v>4</x:v>
      </x:c>
      <x:c r="J16" s="28" t="str">
        <x:v>High</x:v>
      </x:c>
      <x:c r="K16" s="28" t="n">
        <x:f>I16-H16</x:f>
        <x:v>2</x:v>
      </x:c>
      <x:c r="L16" s="26" t="str">
        <x:v>Perform quarterly restore tests for critical shared storage and business systems; document results and issues.</x:v>
      </x:c>
      <x:c r="M16" s="26" t="str">
        <x:v>IT / Operations</x:v>
      </x:c>
      <x:c r="N16" s="26"/>
    </x:row>
    <x:row r="17">
      <x:c r="A17" s="26" t="str">
        <x:v>GA-016</x:v>
      </x:c>
      <x:c r="B17" s="26" t="str">
        <x:v>PR.IR</x:v>
      </x:c>
      <x:c r="C17" s="26" t="str">
        <x:v>Protect</x:v>
      </x:c>
      <x:c r="D17" s="26" t="str">
        <x:v>Technology Infrastructure Resilience</x:v>
      </x:c>
      <x:c r="E17" s="26" t="str">
        <x:v>Recovery priorities are not formally defined.</x:v>
      </x:c>
      <x:c r="F17" s="26" t="str">
        <x:v>There is no documented recovery sequence for critical systems or data.</x:v>
      </x:c>
      <x:c r="G17" s="26" t="str">
        <x:v>Recovery priorities and recovery-time expectations defined for critical business processes.</x:v>
      </x:c>
      <x:c r="H17" s="28" t="n">
        <x:v>1</x:v>
      </x:c>
      <x:c r="I17" s="28" t="n">
        <x:v>3</x:v>
      </x:c>
      <x:c r="J17" s="28" t="str">
        <x:v>High</x:v>
      </x:c>
      <x:c r="K17" s="28" t="n">
        <x:f>I17-H17</x:f>
        <x:v>2</x:v>
      </x:c>
      <x:c r="L17" s="26" t="str">
        <x:v>Define critical processes, recovery sequence, system owners, and acceptable downtime targets.</x:v>
      </x:c>
      <x:c r="M17" s="26" t="str">
        <x:v>Leadership / Operations</x:v>
      </x:c>
      <x:c r="N17" s="26"/>
    </x:row>
    <x:row r="18">
      <x:c r="A18" s="26" t="str">
        <x:v>GA-017</x:v>
      </x:c>
      <x:c r="B18" s="26" t="str">
        <x:v>DE.CM</x:v>
      </x:c>
      <x:c r="C18" s="26" t="str">
        <x:v>Detect</x:v>
      </x:c>
      <x:c r="D18" s="26" t="str">
        <x:v>Continuous Monitoring</x:v>
      </x:c>
      <x:c r="E18" s="26" t="str">
        <x:v>Centralized monitoring is limited for email, endpoints, and critical cloud applications.</x:v>
      </x:c>
      <x:c r="F18" s="26" t="str">
        <x:v>Alerts may exist in separate tools, but no one regularly reviews a consolidated view.</x:v>
      </x:c>
      <x:c r="G18" s="26" t="str">
        <x:v>Defined alert review process for critical systems and accounts.</x:v>
      </x:c>
      <x:c r="H18" s="28" t="n">
        <x:v>1</x:v>
      </x:c>
      <x:c r="I18" s="28" t="n">
        <x:v>3</x:v>
      </x:c>
      <x:c r="J18" s="28" t="str">
        <x:v>Medium</x:v>
      </x:c>
      <x:c r="K18" s="28" t="n">
        <x:f>I18-H18</x:f>
        <x:v>2</x:v>
      </x:c>
      <x:c r="L18" s="26" t="str">
        <x:v>Identify critical alerts and define who reviews them, how often, and how escalation works.</x:v>
      </x:c>
      <x:c r="M18" s="26" t="str">
        <x:v>IT</x:v>
      </x:c>
      <x:c r="N18" s="26"/>
    </x:row>
    <x:row r="19">
      <x:c r="A19" s="26" t="str">
        <x:v>GA-018</x:v>
      </x:c>
      <x:c r="B19" s="26" t="str">
        <x:v>DE.AE</x:v>
      </x:c>
      <x:c r="C19" s="26" t="str">
        <x:v>Detect</x:v>
      </x:c>
      <x:c r="D19" s="26" t="str">
        <x:v>Adverse Event Analysis</x:v>
      </x:c>
      <x:c r="E19" s="26" t="str">
        <x:v>There is no standard process to analyze suspicious activity or near misses.</x:v>
      </x:c>
      <x:c r="F19" s="26" t="str">
        <x:v>Issues are handled informally and not tracked for lessons learned.</x:v>
      </x:c>
      <x:c r="G19" s="26" t="str">
        <x:v>Documented process for analyzing security events and tracking lessons learned.</x:v>
      </x:c>
      <x:c r="H19" s="28" t="n">
        <x:v>1</x:v>
      </x:c>
      <x:c r="I19" s="28" t="n">
        <x:v>3</x:v>
      </x:c>
      <x:c r="J19" s="28" t="str">
        <x:v>Low</x:v>
      </x:c>
      <x:c r="K19" s="28" t="n">
        <x:f>I19-H19</x:f>
        <x:v>2</x:v>
      </x:c>
      <x:c r="L19" s="26" t="str">
        <x:v>Create a simple event log for suspicious emails, malware alerts, access concerns, and lessons learned.</x:v>
      </x:c>
      <x:c r="M19" s="26" t="str">
        <x:v>Cybersecurity Owner</x:v>
      </x:c>
      <x:c r="N19" s="26"/>
    </x:row>
    <x:row r="20">
      <x:c r="A20" s="26" t="str">
        <x:v>GA-019</x:v>
      </x:c>
      <x:c r="B20" s="26" t="str">
        <x:v>RS.MA</x:v>
      </x:c>
      <x:c r="C20" s="26" t="str">
        <x:v>Respond</x:v>
      </x:c>
      <x:c r="D20" s="26" t="str">
        <x:v>Incident Management</x:v>
      </x:c>
      <x:c r="E20" s="26" t="str">
        <x:v>No formal incident response plan exists.</x:v>
      </x:c>
      <x:c r="F20" s="26" t="str">
        <x:v>The company would rely on ad hoc decisions during a security incident.</x:v>
      </x:c>
      <x:c r="G20" s="26" t="str">
        <x:v>Documented incident response plan with roles, escalation, and communication steps.</x:v>
      </x:c>
      <x:c r="H20" s="28" t="n">
        <x:v>1</x:v>
      </x:c>
      <x:c r="I20" s="28" t="n">
        <x:v>4</x:v>
      </x:c>
      <x:c r="J20" s="28" t="str">
        <x:v>High</x:v>
      </x:c>
      <x:c r="K20" s="28" t="n">
        <x:f>I20-H20</x:f>
        <x:v>3</x:v>
      </x:c>
      <x:c r="L20" s="26" t="str">
        <x:v>Create a basic incident response plan for ransomware, phishing, lost device, and unauthorized access scenarios.</x:v>
      </x:c>
      <x:c r="M20" s="26" t="str">
        <x:v>Cybersecurity Owner / Leadership</x:v>
      </x:c>
      <x:c r="N20" s="26"/>
    </x:row>
    <x:row r="21">
      <x:c r="A21" s="26" t="str">
        <x:v>GA-020</x:v>
      </x:c>
      <x:c r="B21" s="26" t="str">
        <x:v>RS.CO</x:v>
      </x:c>
      <x:c r="C21" s="26" t="str">
        <x:v>Respond</x:v>
      </x:c>
      <x:c r="D21" s="26" t="str">
        <x:v>Incident Response Reporting and Communication</x:v>
      </x:c>
      <x:c r="E21" s="26" t="str">
        <x:v>Incident communication paths are not documented.</x:v>
      </x:c>
      <x:c r="F21" s="26" t="str">
        <x:v>Employees may not know who to contact or what to report.</x:v>
      </x:c>
      <x:c r="G21" s="26" t="str">
        <x:v>Clear internal reporting path and external escalation contacts.</x:v>
      </x:c>
      <x:c r="H21" s="28" t="n">
        <x:v>1</x:v>
      </x:c>
      <x:c r="I21" s="28" t="n">
        <x:v>3</x:v>
      </x:c>
      <x:c r="J21" s="28" t="str">
        <x:v>High</x:v>
      </x:c>
      <x:c r="K21" s="28" t="n">
        <x:f>I21-H21</x:f>
        <x:v>2</x:v>
      </x:c>
      <x:c r="L21" s="26" t="str">
        <x:v>Publish incident reporting steps and maintain contacts for IT provider, cyber insurance, legal, and leadership.</x:v>
      </x:c>
      <x:c r="M21" s="26" t="str">
        <x:v>Leadership / HR</x:v>
      </x:c>
      <x:c r="N21" s="26"/>
    </x:row>
    <x:row r="22">
      <x:c r="A22" s="26" t="str">
        <x:v>GA-021</x:v>
      </x:c>
      <x:c r="B22" s="26" t="str">
        <x:v>RS.AN</x:v>
      </x:c>
      <x:c r="C22" s="26" t="str">
        <x:v>Respond</x:v>
      </x:c>
      <x:c r="D22" s="26" t="str">
        <x:v>Incident Analysis</x:v>
      </x:c>
      <x:c r="E22" s="26" t="str">
        <x:v>Incident evidence handling is not defined.</x:v>
      </x:c>
      <x:c r="F22" s="26" t="str">
        <x:v>The company has no standard instructions for preserving logs, emails, screenshots, or affected devices.</x:v>
      </x:c>
      <x:c r="G22" s="26" t="str">
        <x:v>Basic evidence preservation guidance included in incident response plan.</x:v>
      </x:c>
      <x:c r="H22" s="28" t="n">
        <x:v>1</x:v>
      </x:c>
      <x:c r="I22" s="28" t="n">
        <x:v>3</x:v>
      </x:c>
      <x:c r="J22" s="28" t="str">
        <x:v>Medium</x:v>
      </x:c>
      <x:c r="K22" s="28" t="n">
        <x:f>I22-H22</x:f>
        <x:v>2</x:v>
      </x:c>
      <x:c r="L22" s="26" t="str">
        <x:v>Add evidence-preservation checklist to the incident response plan.</x:v>
      </x:c>
      <x:c r="M22" s="26" t="str">
        <x:v>IT / Cybersecurity Owner</x:v>
      </x:c>
      <x:c r="N22" s="26"/>
    </x:row>
    <x:row r="23">
      <x:c r="A23" s="26" t="str">
        <x:v>GA-022</x:v>
      </x:c>
      <x:c r="B23" s="26" t="str">
        <x:v>RC.RP</x:v>
      </x:c>
      <x:c r="C23" s="26" t="str">
        <x:v>Recover</x:v>
      </x:c>
      <x:c r="D23" s="26" t="str">
        <x:v>Incident Recovery Plan Execution</x:v>
      </x:c>
      <x:c r="E23" s="26" t="str">
        <x:v>Recovery playbooks are not documented for ransomware or major outage scenarios.</x:v>
      </x:c>
      <x:c r="F23" s="26" t="str">
        <x:v>Recovery knowledge is mostly held by external IT and system owners.</x:v>
      </x:c>
      <x:c r="G23" s="26" t="str">
        <x:v>Documented recovery playbooks for shared file storage, email compromise, and critical apps.</x:v>
      </x:c>
      <x:c r="H23" s="28" t="n">
        <x:v>1</x:v>
      </x:c>
      <x:c r="I23" s="28" t="n">
        <x:v>3</x:v>
      </x:c>
      <x:c r="J23" s="28" t="str">
        <x:v>High</x:v>
      </x:c>
      <x:c r="K23" s="28" t="n">
        <x:f>I23-H23</x:f>
        <x:v>2</x:v>
      </x:c>
      <x:c r="L23" s="26" t="str">
        <x:v>Create simple recovery playbooks and align them to backup restoration steps and business priorities.</x:v>
      </x:c>
      <x:c r="M23" s="26" t="str">
        <x:v>IT / Operations</x:v>
      </x:c>
      <x:c r="N23" s="26"/>
    </x:row>
    <x:row r="24">
      <x:c r="A24" s="26" t="str">
        <x:v>GA-023</x:v>
      </x:c>
      <x:c r="B24" s="26" t="str">
        <x:v>RC.CO</x:v>
      </x:c>
      <x:c r="C24" s="26" t="str">
        <x:v>Recover</x:v>
      </x:c>
      <x:c r="D24" s="26" t="str">
        <x:v>Incident Recovery Communication</x:v>
      </x:c>
      <x:c r="E24" s="26" t="str">
        <x:v>Recovery communications are not planned for employees, customers, vendors, or insurers.</x:v>
      </x:c>
      <x:c r="F24" s="26" t="str">
        <x:v>Communication would be improvised during a disruption.</x:v>
      </x:c>
      <x:c r="G24" s="26" t="str">
        <x:v>Pre-drafted recovery communication templates and contact lists.</x:v>
      </x:c>
      <x:c r="H24" s="28" t="n">
        <x:v>1</x:v>
      </x:c>
      <x:c r="I24" s="28" t="n">
        <x:v>3</x:v>
      </x:c>
      <x:c r="J24" s="28" t="str">
        <x:v>Medium</x:v>
      </x:c>
      <x:c r="K24" s="28" t="n">
        <x:f>I24-H24</x:f>
        <x:v>2</x:v>
      </x:c>
      <x:c r="L24" s="26" t="str">
        <x:v>Prepare basic internal and external communication templates for major incidents.</x:v>
      </x:c>
      <x:c r="M24" s="26" t="str">
        <x:v>Leadership / HR</x:v>
      </x:c>
      <x:c r="N24" s="26"/>
    </x:row>
    <x:row r="25">
      <x:c r="A25" s="26" t="str">
        <x:v>GA-024</x:v>
      </x:c>
      <x:c r="B25" s="26" t="str">
        <x:v>ID.IM</x:v>
      </x:c>
      <x:c r="C25" s="26" t="str">
        <x:v>Identify</x:v>
      </x:c>
      <x:c r="D25" s="26" t="str">
        <x:v>Improvement</x:v>
      </x:c>
      <x:c r="E25" s="26" t="str">
        <x:v>Cybersecurity improvements are not tracked to closure.</x:v>
      </x:c>
      <x:c r="F25" s="26" t="str">
        <x:v>Tasks may be discussed but not formally assigned, prioritized, or reviewed.</x:v>
      </x:c>
      <x:c r="G25" s="26" t="str">
        <x:v>Remediation tracker with owners, due dates, and status updates.</x:v>
      </x:c>
      <x:c r="H25" s="28" t="n">
        <x:v>1</x:v>
      </x:c>
      <x:c r="I25" s="28" t="n">
        <x:v>3</x:v>
      </x:c>
      <x:c r="J25" s="28" t="str">
        <x:v>Medium</x:v>
      </x:c>
      <x:c r="K25" s="28" t="n">
        <x:f>I25-H25</x:f>
        <x:v>2</x:v>
      </x:c>
      <x:c r="L25" s="26" t="str">
        <x:v>Maintain a remediation roadmap and review progress monthly until high-priority gaps are closed.</x:v>
      </x:c>
      <x:c r="M25" s="26" t="str">
        <x:v>Cybersecurity Owner</x:v>
      </x:c>
      <x:c r="N25" s="26"/>
    </x:row>
  </x:sheetData>
  <x:conditionalFormatting sqref="J2:J200">
    <x:cfRule type="expression" dxfId="0" priority="1">
      <x:formula>J2="High"</x:formula>
    </x:cfRule>
    <x:cfRule type="expression" dxfId="1" priority="2">
      <x:formula>J2="Medium"</x:formula>
    </x:cfRule>
    <x:cfRule type="expression" dxfId="2" priority="3">
      <x:formula>J2="Low"</x:formula>
    </x:cfRule>
  </x:conditionalFormatting>
  <x:conditionalFormatting sqref="K2:K200">
    <x:cfRule type="colorScale" priority="4">
      <x:colorScale>
        <x:cfvo type="min"/>
        <x:cfvo type="percentile" val="50"/>
        <x:cfvo type="max"/>
        <x:color rgb="FFE2F0D9"/>
        <x:color rgb="FFFFF2CC"/>
        <x:color rgb="FFF4B183"/>
      </x:colorScale>
    </x:cfRule>
  </x:conditionalFormatting>
  <x:dataValidations count="3">
    <x:dataValidation type="list" sqref="J2:J200">
      <x:formula1>"High,Medium,Low"</x:formula1>
    </x:dataValidation>
    <x:dataValidation type="list" sqref="C2:C200">
      <x:formula1>"Govern,Identify,Protect,Detect,Respond,Recover"</x:formula1>
    </x:dataValidation>
    <x:dataValidation type="list" sqref="H2:I200">
      <x:formula1>"1,2,3,4,5"</x:formula1>
    </x:dataValidation>
  </x:dataValidations>
  <x:pageMargins left="0.7" right="0.7" top="0.75" bottom="0.75" header="0.3" footer="0.3"/>
  <x:tableParts count="1">
    <x:tablePart xmlns:r="http://schemas.openxmlformats.org/officeDocument/2006/relationships" r:id="R1297ce2942874867"/>
  </x:tableParts>
</x:worksheet>
</file>

<file path=xl/worksheets/sheet4.xml><?xml version="1.0" encoding="utf-8"?>
<x:worksheet xmlns:x="http://schemas.openxmlformats.org/spreadsheetml/2006/main">
  <x:sheetFormatPr defaultRowHeight="15"/>
  <x:cols>
    <x:col min="1" max="1" width="12" hidden="0" customWidth="1"/>
    <x:col min="2" max="2" width="28" hidden="0" customWidth="1"/>
    <x:col min="3" max="3" width="22" hidden="0" customWidth="1"/>
    <x:col min="4" max="4" width="12" hidden="0" customWidth="1"/>
    <x:col min="5" max="5" width="44" hidden="0" customWidth="1"/>
    <x:col min="6" max="6" width="48" hidden="0" customWidth="1"/>
    <x:col min="7" max="7" width="38" hidden="0" customWidth="1"/>
  </x:cols>
  <x:sheetData>
    <x:row r="1">
      <x:c r="A1" s="22" t="str">
        <x:v>Finding ID</x:v>
      </x:c>
      <x:c r="B1" s="22" t="str">
        <x:v>Risk Theme</x:v>
      </x:c>
      <x:c r="C1" s="22" t="str">
        <x:v>Related Gap IDs</x:v>
      </x:c>
      <x:c r="D1" s="22" t="str">
        <x:v>Priority</x:v>
      </x:c>
      <x:c r="E1" s="22" t="str">
        <x:v>Business Risk</x:v>
      </x:c>
      <x:c r="F1" s="22" t="str">
        <x:v>Recommended Response</x:v>
      </x:c>
      <x:c r="G1" s="22" t="str">
        <x:v>Expected Outcome</x:v>
      </x:c>
    </x:row>
    <x:row r="2">
      <x:c r="A2" s="26" t="str">
        <x:v>F-001</x:v>
      </x:c>
      <x:c r="B2" s="26" t="str">
        <x:v>Asset inventory is incomplete</x:v>
      </x:c>
      <x:c r="C2" s="26" t="str">
        <x:v>GA-005, GA-006</x:v>
      </x:c>
      <x:c r="D2" s="26" t="str">
        <x:v>High</x:v>
      </x:c>
      <x:c r="E2" s="26" t="str">
        <x:v>The company may not know what assets, applications, and data locations need to be protected or recovered first.</x:v>
      </x:c>
      <x:c r="F2" s="26" t="str">
        <x:v>Create a central inventory covering endpoints, shared storage, cloud applications, critical data locations, and vendors.</x:v>
      </x:c>
      <x:c r="G2" s="26" t="str">
        <x:v>Improved patching, access decisions, monitoring, and recovery planning.</x:v>
      </x:c>
    </x:row>
    <x:row r="3">
      <x:c r="A3" s="26" t="str">
        <x:v>F-002</x:v>
      </x:c>
      <x:c r="B3" s="26" t="str">
        <x:v>Access governance is inconsistent</x:v>
      </x:c>
      <x:c r="C3" s="26" t="str">
        <x:v>GA-008, GA-009, GA-010, GA-012</x:v>
      </x:c>
      <x:c r="D3" s="26" t="str">
        <x:v>High</x:v>
      </x:c>
      <x:c r="E3" s="26" t="str">
        <x:v>Users may retain excessive access to sensitive files, finance tools, vendor portals, and cloud applications.</x:v>
      </x:c>
      <x:c r="F3" s="26" t="str">
        <x:v>Enforce MFA for critical systems, standardize joiner/mover/leaver workflows, and perform quarterly access reviews.</x:v>
      </x:c>
      <x:c r="G3" s="26" t="str">
        <x:v>Reduced likelihood of unauthorized access, credential abuse, and data exposure.</x:v>
      </x:c>
    </x:row>
    <x:row r="4">
      <x:c r="A4" s="26" t="str">
        <x:v>F-003</x:v>
      </x:c>
      <x:c r="B4" s="26" t="str">
        <x:v>Backup and recovery are not tested</x:v>
      </x:c>
      <x:c r="C4" s="26" t="str">
        <x:v>GA-015, GA-016, GA-022</x:v>
      </x:c>
      <x:c r="D4" s="26" t="str">
        <x:v>High</x:v>
      </x:c>
      <x:c r="E4" s="26" t="str">
        <x:v>Ransomware or data loss could cause extended downtime if backups cannot be restored quickly.</x:v>
      </x:c>
      <x:c r="F4" s="26" t="str">
        <x:v>Define recovery priorities and perform quarterly restore tests for critical data and systems.</x:v>
      </x:c>
      <x:c r="G4" s="26" t="str">
        <x:v>Higher confidence that critical business operations can be restored.</x:v>
      </x:c>
    </x:row>
    <x:row r="5">
      <x:c r="A5" s="26" t="str">
        <x:v>F-004</x:v>
      </x:c>
      <x:c r="B5" s="26" t="str">
        <x:v>Incident response is informal</x:v>
      </x:c>
      <x:c r="C5" s="26" t="str">
        <x:v>GA-019, GA-020, GA-021, GA-023</x:v>
      </x:c>
      <x:c r="D5" s="26" t="str">
        <x:v>High</x:v>
      </x:c>
      <x:c r="E5" s="26" t="str">
        <x:v>A major security incident could be handled slowly or inconsistently due to unclear roles and communication paths.</x:v>
      </x:c>
      <x:c r="F5" s="26" t="str">
        <x:v>Create a basic incident response plan with escalation steps, evidence handling, contacts, and communication templates.</x:v>
      </x:c>
      <x:c r="G5" s="26" t="str">
        <x:v>Faster response, clearer decision-making, and better support for insurance or legal needs.</x:v>
      </x:c>
    </x:row>
    <x:row r="6">
      <x:c r="A6" s="26" t="str">
        <x:v>F-005</x:v>
      </x:c>
      <x:c r="B6" s="26" t="str">
        <x:v>Vendor risk is not documented</x:v>
      </x:c>
      <x:c r="C6" s="26" t="str">
        <x:v>GA-003</x:v>
      </x:c>
      <x:c r="D6" s="26" t="str">
        <x:v>High</x:v>
      </x:c>
      <x:c r="E6" s="26" t="str">
        <x:v>Critical vendors may expose the company to cyber, operational, or contractual risk without leadership visibility.</x:v>
      </x:c>
      <x:c r="F6" s="26" t="str">
        <x:v>Create a vendor inventory and lightweight critical-vendor review process.</x:v>
      </x:c>
      <x:c r="G6" s="26" t="str">
        <x:v>Better visibility into third-party risk and contract/security expectations.</x:v>
      </x:c>
    </x:row>
    <x:row r="7">
      <x:c r="A7" s="26" t="str">
        <x:v>F-006</x:v>
      </x:c>
      <x:c r="B7" s="26" t="str">
        <x:v>Security governance needs ownership</x:v>
      </x:c>
      <x:c r="C7" s="26" t="str">
        <x:v>GA-001, GA-002, GA-004, GA-024</x:v>
      </x:c>
      <x:c r="D7" s="26" t="str">
        <x:v>Medium</x:v>
      </x:c>
      <x:c r="E7" s="26" t="str">
        <x:v>Security improvements may stall without ownership, reporting, policies, and follow-up.</x:v>
      </x:c>
      <x:c r="F7" s="26" t="str">
        <x:v>Assign a cybersecurity owner, approve core policies, and maintain a remediation roadmap.</x:v>
      </x:c>
      <x:c r="G7" s="26" t="str">
        <x:v>Leadership can track progress and hold owners accountable.</x:v>
      </x:c>
    </x:row>
    <x:row r="8">
      <x:c r="A8" s="26" t="str">
        <x:v>F-007</x:v>
      </x:c>
      <x:c r="B8" s="26" t="str">
        <x:v>Security awareness is limited</x:v>
      </x:c>
      <x:c r="C8" s="26" t="str">
        <x:v>GA-011</x:v>
      </x:c>
      <x:c r="D8" s="26" t="str">
        <x:v>Medium</x:v>
      </x:c>
      <x:c r="E8" s="26" t="str">
        <x:v>Employees may not recognize phishing, suspicious attachments, or business email compromise indicators.</x:v>
      </x:c>
      <x:c r="F8" s="26" t="str">
        <x:v>Launch annual awareness training and quarterly reminders tied to ransomware and phishing scenarios.</x:v>
      </x:c>
      <x:c r="G8" s="26" t="str">
        <x:v>Reduced likelihood of user-driven incidents.</x:v>
      </x:c>
    </x:row>
    <x:row r="9">
      <x:c r="A9" s="26" t="str">
        <x:v>F-008</x:v>
      </x:c>
      <x:c r="B9" s="26" t="str">
        <x:v>Monitoring and event review are limited</x:v>
      </x:c>
      <x:c r="C9" s="26" t="str">
        <x:v>GA-017, GA-018</x:v>
      </x:c>
      <x:c r="D9" s="26" t="str">
        <x:v>Medium</x:v>
      </x:c>
      <x:c r="E9" s="26" t="str">
        <x:v>Suspicious activity may not be detected or analyzed until it becomes disruptive.</x:v>
      </x:c>
      <x:c r="F9" s="26" t="str">
        <x:v>Define critical alerts and maintain a simple event/lessons-learned log.</x:v>
      </x:c>
      <x:c r="G9" s="26" t="str">
        <x:v>Improved detection and continuous improvement without requiring a full SOC.</x:v>
      </x:c>
    </x:row>
  </x:sheetData>
  <x:conditionalFormatting sqref="D2:D50">
    <x:cfRule type="expression" dxfId="3" priority="1">
      <x:formula>D2="High"</x:formula>
    </x:cfRule>
    <x:cfRule type="expression" dxfId="4" priority="2">
      <x:formula>D2="Medium"</x:formula>
    </x:cfRule>
    <x:cfRule type="expression" dxfId="5" priority="3">
      <x:formula>D2="Low"</x:formula>
    </x:cfRule>
  </x:conditionalFormatting>
  <x:pageMargins left="0.7" right="0.7" top="0.75" bottom="0.75" header="0.3" footer="0.3"/>
  <x:tableParts count="1">
    <x:tablePart xmlns:r="http://schemas.openxmlformats.org/officeDocument/2006/relationships" r:id="R7bcdbcada822430c"/>
  </x:tableParts>
</x:worksheet>
</file>

<file path=xl/worksheets/sheet5.xml><?xml version="1.0" encoding="utf-8"?>
<x:worksheet xmlns:x="http://schemas.openxmlformats.org/spreadsheetml/2006/main">
  <x:sheetFormatPr defaultRowHeight="15"/>
  <x:cols>
    <x:col min="1" max="1" width="16" hidden="0" customWidth="1"/>
    <x:col min="2" max="2" width="28" hidden="0" customWidth="1"/>
    <x:col min="3" max="3" width="20" hidden="0" customWidth="1"/>
    <x:col min="4" max="4" width="80" hidden="0" customWidth="1"/>
  </x:cols>
  <x:sheetData>
    <x:row r="1">
      <x:c r="A1" s="22" t="str">
        <x:v>Priority</x:v>
      </x:c>
      <x:c r="B1" s="22" t="str">
        <x:v>Maturity Score</x:v>
      </x:c>
      <x:c r="C1" s="22" t="str">
        <x:v>NIST CSF Function</x:v>
      </x:c>
      <x:c r="D1" s="22" t="str">
        <x:v>Source</x:v>
      </x:c>
    </x:row>
    <x:row r="2">
      <x:c r="A2" s="26" t="str">
        <x:v>High</x:v>
      </x:c>
      <x:c r="B2" s="26" t="str">
        <x:v>1 - Ad hoc / missing</x:v>
      </x:c>
      <x:c r="C2" s="26" t="str">
        <x:v>Govern</x:v>
      </x:c>
      <x:c r="D2" s="26" t="str">
        <x:v>https://www.nist.gov/cyberframework</x:v>
      </x:c>
    </x:row>
    <x:row r="3">
      <x:c r="A3" s="26" t="str">
        <x:v>Medium</x:v>
      </x:c>
      <x:c r="B3" s="26" t="str">
        <x:v>2 - Informal</x:v>
      </x:c>
      <x:c r="C3" s="26" t="str">
        <x:v>Identify</x:v>
      </x:c>
      <x:c r="D3" s="26" t="str">
        <x:v>https://nvlpubs.nist.gov/nistpubs/CSWP/NIST.CSWP.29.pdf</x:v>
      </x:c>
    </x:row>
    <x:row r="4">
      <x:c r="A4" s="26" t="str">
        <x:v>Low</x:v>
      </x:c>
      <x:c r="B4" s="26" t="str">
        <x:v>3 - Defined</x:v>
      </x:c>
      <x:c r="C4" s="26" t="str">
        <x:v>Protect</x:v>
      </x:c>
      <x:c r="D4" s="26"/>
    </x:row>
    <x:row r="5">
      <x:c r="A5" s="26"/>
      <x:c r="B5" s="26" t="str">
        <x:v>4 - Managed / measured</x:v>
      </x:c>
      <x:c r="C5" s="26" t="str">
        <x:v>Detect</x:v>
      </x:c>
      <x:c r="D5" s="26"/>
    </x:row>
    <x:row r="6">
      <x:c r="A6" s="26"/>
      <x:c r="B6" s="26" t="str">
        <x:v>5 - Optimized</x:v>
      </x:c>
      <x:c r="C6" s="26" t="str">
        <x:v>Respond</x:v>
      </x:c>
      <x:c r="D6" s="26"/>
    </x:row>
    <x:row r="7">
      <x:c r="A7" s="26"/>
      <x:c r="B7" s="26"/>
      <x:c r="C7" s="26" t="str">
        <x:v>Recover</x:v>
      </x:c>
      <x:c r="D7" s="26"/>
    </x:row>
  </x:sheetData>
  <x:pageMargins left="0.7" right="0.7" top="0.75" bottom="0.75" header="0.3" footer="0.3"/>
</x:worksheet>
</file>