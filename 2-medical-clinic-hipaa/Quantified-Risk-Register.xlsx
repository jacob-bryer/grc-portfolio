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Risk Register" sheetId="2" state="visible" r:id="rId4"/>
    <sheet name="Summary" sheetId="3" state="visible" r:id="rId5"/>
    <sheet name="Lookup" sheetId="4" state="visible" r:id="rId6"/>
  </sheets>
  <definedNames>
    <definedName function="false" hidden="false" localSheetId="1" name="_xlnm.Print_Titles" vbProcedure="false">'Risk Register'!$4:$4</definedName>
    <definedName function="false" hidden="true" localSheetId="1" name="_xlnm._FilterDatabase" vbProcedure="false">'Risk Register'!$A$4:$N$200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<sst xmlns="http://schemas.openxmlformats.org/spreadsheetml/2006/main" count="170" uniqueCount="141">
  <si>
    <t xml:space="preserve">Lakeside Family Clinic — Quantified Risk Register</t>
  </si>
  <si>
    <t xml:space="preserve">HIPAA Security Risk Assessment | Portfolio Project</t>
  </si>
  <si>
    <t xml:space="preserve">Prepared by: Jacob Bryer | GRC Portfolio Project</t>
  </si>
  <si>
    <t xml:space="preserve">Fictional engagement — created for portfolio purposes only. Lakeside Family Clinic is a fictional company. No real patients, staff, or data are represented.</t>
  </si>
  <si>
    <t xml:space="preserve">Scenario</t>
  </si>
  <si>
    <t xml:space="preserve">Lakeside Family Clinic is a fictional small medical practice providing primary care to local patients. The clinic has about 25 employees — physicians, nurses, billing staff, front desk, and administrative support. Day to day, the clinic runs on an EHR system, email, shared workstations, scheduling software, billing tools, and cloud-based file storage. Because they're handling protected health information, leadership wanted a clearer picture of where their security posture actually stood and what gaps could turn into compliance, operational, or financial problems.</t>
  </si>
  <si>
    <t xml:space="preserve">Objective</t>
  </si>
  <si>
    <t xml:space="preserve">I evaluated the clinic's current security practices against HIPAA Security Rule concepts to find risks affecting the confidentiality, integrity, and availability of electronic protected health information (ePHI). This scenario leans into regulatory requirements, practical risk scoring, and communicating risk in a way that actually supports compliance and business decisions — not just listing findings.</t>
  </si>
  <si>
    <t xml:space="preserve">Scope</t>
  </si>
  <si>
    <t xml:space="preserve">This assessment covers: access controls for systems containing patient information, user account provisioning and deprovisioning, multi-factor authentication, workstation security, email and phishing risk, data backup and recovery, audit logging and monitoring, security awareness training, incident response readiness, vendor and third-party risk, and policies and procedures related to patient data protection.
Out of scope: clinical care quality, billing accuracy, legal interpretation of HIPAA, and physical facility safety.</t>
  </si>
  <si>
    <t xml:space="preserve">Assumptions</t>
  </si>
  <si>
    <t xml:space="preserve">•  Findings are based on the fictional clinic environment and stakeholder representations described above, not on technical testing.</t>
  </si>
  <si>
    <t xml:space="preserve">•  No vulnerability scanning or penetration testing was performed as part of this scenario.</t>
  </si>
  <si>
    <t xml:space="preserve">•  Risk scoring reflects a point-in-time snapshot and assumes no changes were made during the engagement.</t>
  </si>
  <si>
    <t xml:space="preserve">Methodology</t>
  </si>
  <si>
    <t xml:space="preserve">1.  Review the fictional clinic environment and assumptions</t>
  </si>
  <si>
    <t xml:space="preserve">2.  Identify systems and processes that store, process, or transmit ePHI</t>
  </si>
  <si>
    <t xml:space="preserve">3.  Evaluate current safeguards against HIPAA Security Rule concepts</t>
  </si>
  <si>
    <t xml:space="preserve">4.  Document security gaps and the business risk behind each one</t>
  </si>
  <si>
    <t xml:space="preserve">5.  Score each risk by likelihood, impact, and estimated financial exposure</t>
  </si>
  <si>
    <t xml:space="preserve">6.  Recommend remediation steps based on risk priority</t>
  </si>
  <si>
    <t xml:space="preserve">Key Risk Themes</t>
  </si>
  <si>
    <t xml:space="preserve">•  Inconsistent multi-factor authentication</t>
  </si>
  <si>
    <t xml:space="preserve">•  Shared workstation access concerns</t>
  </si>
  <si>
    <t xml:space="preserve">•  Limited audit log review</t>
  </si>
  <si>
    <t xml:space="preserve">•  Weak user offboarding process</t>
  </si>
  <si>
    <t xml:space="preserve">•  Backup recovery procedures that haven't been tested</t>
  </si>
  <si>
    <t xml:space="preserve">•  No formal incident response plan</t>
  </si>
  <si>
    <t xml:space="preserve">•  Limited vendor risk documentation</t>
  </si>
  <si>
    <t xml:space="preserve">•  Security training not run on a consistent schedule</t>
  </si>
  <si>
    <t xml:space="preserve">How to read this workbook</t>
  </si>
  <si>
    <t xml:space="preserve">Risk Score = Likelihood × Impact, both scored 1–5. The Risk Level formula classifies the result: Critical (15–25), High (10–14), Medium (5–9), Low (1–4). Financial exposure is a directional estimate based on HHS breach penalty ranges and typical remediation costs for a small medical practice — not a formal actuarial calculation. Status tracks remediation progress per item.</t>
  </si>
  <si>
    <t xml:space="preserve">Disclaimer</t>
  </si>
  <si>
    <t xml:space="preserve">Lakeside Family Clinic is a fictional company created for portfolio purposes. All findings, risks, and recommendations in this folder are fictional and don't represent any real company or client. This isn't legal advice and isn't a formal HIPAA compliance determination.</t>
  </si>
  <si>
    <t xml:space="preserve">HIPAA Security Risk Assessment  |  Prepared by: Jacob Bryer  |  GRC Portfolio Project</t>
  </si>
  <si>
    <t xml:space="preserve">Fictional engagement — for portfolio purposes only. No real patients, staff, or data are represented.</t>
  </si>
  <si>
    <t xml:space="preserve">Risk ID</t>
  </si>
  <si>
    <t xml:space="preserve">HIPAA Reference</t>
  </si>
  <si>
    <t xml:space="preserve">Risk Theme</t>
  </si>
  <si>
    <t xml:space="preserve">Risk Description</t>
  </si>
  <si>
    <t xml:space="preserve">Current Controls / Safeguards</t>
  </si>
  <si>
    <t xml:space="preserve">Likelihood
(1–5)</t>
  </si>
  <si>
    <t xml:space="preserve">Impact
(1–5)</t>
  </si>
  <si>
    <t xml:space="preserve">Risk Score
(L × I)</t>
  </si>
  <si>
    <t xml:space="preserve">Risk Level</t>
  </si>
  <si>
    <t xml:space="preserve">Est. Financial Exposure</t>
  </si>
  <si>
    <t xml:space="preserve">Recommended Action</t>
  </si>
  <si>
    <t xml:space="preserve">Dependencies</t>
  </si>
  <si>
    <t xml:space="preserve">Owner</t>
  </si>
  <si>
    <t xml:space="preserve">Status</t>
  </si>
  <si>
    <t xml:space="preserve">H-01</t>
  </si>
  <si>
    <t xml:space="preserve">§164.312(a)(1)</t>
  </si>
  <si>
    <t xml:space="preserve">Inconsistent multi-factor authentication</t>
  </si>
  <si>
    <t xml:space="preserve">Email, cloud file storage, and the EHR system don't all require MFA. A stolen or guessed password is enough to access patient records from anywhere.</t>
  </si>
  <si>
    <t xml:space="preserve">MFA is available in the platforms but only turned on for a handful of IT admin accounts. Most staff accounts have no second factor.</t>
  </si>
  <si>
    <t xml:space="preserve">$125,000 – $300,000</t>
  </si>
  <si>
    <t xml:space="preserve">Turn on MFA for every staff account — email, EHR, and cloud storage — with no exceptions. This is already supported in the clinic's current platforms.</t>
  </si>
  <si>
    <t xml:space="preserve">None</t>
  </si>
  <si>
    <t xml:space="preserve">IT Manager</t>
  </si>
  <si>
    <t xml:space="preserve">Not Started</t>
  </si>
  <si>
    <t xml:space="preserve">H-02</t>
  </si>
  <si>
    <t xml:space="preserve">§164.312(a)(2)(iii)</t>
  </si>
  <si>
    <t xml:space="preserve">Shared workstation access concerns</t>
  </si>
  <si>
    <t xml:space="preserve">Nurses and front-desk staff share generic credentials on clinical workstations. Individual actions on patient records can't be traced back to a specific person.</t>
  </si>
  <si>
    <t xml:space="preserve">Screens lock automatically after 15 minutes of inactivity but return to the shared active session when unlocked.</t>
  </si>
  <si>
    <t xml:space="preserve">$50,000 – $120,000</t>
  </si>
  <si>
    <t xml:space="preserve">Create individual logins for each staff member. If workflow speed is a concern, badge tap-in systems work well in clinical settings.</t>
  </si>
  <si>
    <t xml:space="preserve">Practice Manager</t>
  </si>
  <si>
    <t xml:space="preserve">H-03</t>
  </si>
  <si>
    <t xml:space="preserve">§164.308(a)(3)(ii)(C)</t>
  </si>
  <si>
    <t xml:space="preserve">Weak user offboarding process</t>
  </si>
  <si>
    <t xml:space="preserve">When someone leaves, their access to billing platforms and email isn't removed on any consistent timeline. Former employees may still have active credentials.</t>
  </si>
  <si>
    <t xml:space="preserve">Access removal is handled case by case through informal email chains between admin and IT.</t>
  </si>
  <si>
    <t xml:space="preserve">$75,000 – $180,000</t>
  </si>
  <si>
    <t xml:space="preserve">Set a formal HR-to-IT offboarding rule: all access gets revoked within 24 hours of separation, documented and confirmed.</t>
  </si>
  <si>
    <t xml:space="preserve">HR Director</t>
  </si>
  <si>
    <t xml:space="preserve">H-04</t>
  </si>
  <si>
    <t xml:space="preserve">§164.312(b)</t>
  </si>
  <si>
    <t xml:space="preserve">Limited audit log review</t>
  </si>
  <si>
    <t xml:space="preserve">The EHR generates logs of access events, record exports, and failed logins — but no one reviews them. Suspicious activity would go unnoticed.</t>
  </si>
  <si>
    <t xml:space="preserve">Logs generate automatically within the EHR but are left unread.</t>
  </si>
  <si>
    <t xml:space="preserve">$90,000 – $220,000</t>
  </si>
  <si>
    <t xml:space="preserve">Set up a weekly automated summary of EHR audit logs, flagged for high-volume exports, failed login clusters, or unusual access times.</t>
  </si>
  <si>
    <t xml:space="preserve">H-05</t>
  </si>
  <si>
    <t xml:space="preserve">§164.308(a)(7)(ii)(B)</t>
  </si>
  <si>
    <t xml:space="preserve">Backup recovery procedures that haven't been tested</t>
  </si>
  <si>
    <t xml:space="preserve">Backups run nightly and report success, but the clinic has never tested whether they can actually restore the system. Untested backups fail at a high rate.</t>
  </si>
  <si>
    <t xml:space="preserve">Automated nightly cloud backups are operational and show clean status in the dashboard.</t>
  </si>
  <si>
    <t xml:space="preserve">$200,000 – $450,000+</t>
  </si>
  <si>
    <t xml:space="preserve">Run a real restore test in a sandbox environment and document how long it takes and what worked. Do this before a ransomware event forces the question.</t>
  </si>
  <si>
    <t xml:space="preserve">H-06</t>
  </si>
  <si>
    <t xml:space="preserve">§164.308(a)(6)(ii)</t>
  </si>
  <si>
    <t xml:space="preserve">No formal incident response plan</t>
  </si>
  <si>
    <t xml:space="preserve">There's no written plan for responding to a security incident. In a breach or ransomware scenario, the response would be improvised. HIPAA breach notification has hard deadlines.</t>
  </si>
  <si>
    <t xml:space="preserve">IT response depends on the knowledge and availability of individual contractors.</t>
  </si>
  <si>
    <t xml:space="preserve">$150,000 – $350,000</t>
  </si>
  <si>
    <t xml:space="preserve">Write a basic incident response plan covering roles, escalation steps, and specific playbooks for ransomware and email compromise. It doesn't need to be long to be useful.</t>
  </si>
  <si>
    <t xml:space="preserve">H-07</t>
  </si>
  <si>
    <t xml:space="preserve">§164.308(b)(1)</t>
  </si>
  <si>
    <t xml:space="preserve">Limited vendor risk documentation</t>
  </si>
  <si>
    <t xml:space="preserve">Third-party services that handle patient data are selected based on features and cost, not security. Business Associate Agreements aren't tracked centrally.</t>
  </si>
  <si>
    <t xml:space="preserve">Vendor vetting is informal and focused on operational fit. BAA tracking is inconsistent.</t>
  </si>
  <si>
    <t xml:space="preserve">$80,000 – $200,000</t>
  </si>
  <si>
    <t xml:space="preserve">Build a central BAA registry. Add a basic security review step to any new vendor onboarding.</t>
  </si>
  <si>
    <t xml:space="preserve">H-08</t>
  </si>
  <si>
    <t xml:space="preserve">§164.308(a)(5)(i)</t>
  </si>
  <si>
    <t xml:space="preserve">Security training not run on a consistent schedule</t>
  </si>
  <si>
    <t xml:space="preserve">Staff receive a brief security orientation at onboarding and nothing after that. Phishing tactics have gotten more sophisticated; one-time training doesn't keep up.</t>
  </si>
  <si>
    <t xml:space="preserve">HIPAA data rules are mentioned briefly in the new-hire manual. No follow-up training or phishing simulation has been run.</t>
  </si>
  <si>
    <t xml:space="preserve">$40,000 – $110,000</t>
  </si>
  <si>
    <t xml:space="preserve">Start a recurring training program with monthly short reminders and quarterly simulated phishing tests. This is realistic for a 25-person clinic.</t>
  </si>
  <si>
    <t xml:space="preserve">H-09</t>
  </si>
  <si>
    <t xml:space="preserve">§164.312(e)(1)</t>
  </si>
  <si>
    <t xml:space="preserve">ePHI sometimes shared outside secure channels</t>
  </si>
  <si>
    <t xml:space="preserve">Clinical documentation is sometimes sent through regular email or via public cloud sharing links. Neither is encrypted or auditable in the way patient data requires.</t>
  </si>
  <si>
    <t xml:space="preserve">Cloud storage settings allow external link sharing for convenience. Email has no restrictions on what gets sent externally.</t>
  </si>
  <si>
    <t xml:space="preserve">$30,000 – $75,000</t>
  </si>
  <si>
    <t xml:space="preserve">Configure email and cloud storage settings to block unencrypted sharing of sensitive content. This is typically available in M365 or Google Workspace settings.</t>
  </si>
  <si>
    <t xml:space="preserve">H-10</t>
  </si>
  <si>
    <t xml:space="preserve">§164.316</t>
  </si>
  <si>
    <t xml:space="preserve">Outdated policy framework</t>
  </si>
  <si>
    <t xml:space="preserve">The clinic's code-of-conduct document is years old and doesn't cover data handling expectations, password standards, or what employees are supposed to do if they notice a problem.</t>
  </si>
  <si>
    <t xml:space="preserve">A general code-of-conduct document exists but hasn't been reviewed or updated in several years.</t>
  </si>
  <si>
    <t xml:space="preserve">$20,000 – $50,000</t>
  </si>
  <si>
    <t xml:space="preserve">Draft a short set of foundational security policies covering data handling, password expectations, and incident reporting. Get them signed and distributed to all staff.</t>
  </si>
  <si>
    <t xml:space="preserve">Lakeside Family Clinic — Risk Register Summary</t>
  </si>
  <si>
    <t xml:space="preserve">Total risks assessed: 10</t>
  </si>
  <si>
    <t xml:space="preserve">Count</t>
  </si>
  <si>
    <t xml:space="preserve">Critical</t>
  </si>
  <si>
    <t xml:space="preserve">High</t>
  </si>
  <si>
    <t xml:space="preserve">Medium</t>
  </si>
  <si>
    <t xml:space="preserve">Low</t>
  </si>
  <si>
    <t xml:space="preserve">Total</t>
  </si>
  <si>
    <t xml:space="preserve">Score Summary</t>
  </si>
  <si>
    <t xml:space="preserve">Average Risk Score</t>
  </si>
  <si>
    <t xml:space="preserve">Highest Risk Score</t>
  </si>
  <si>
    <t xml:space="preserve">Lowest Risk Score</t>
  </si>
  <si>
    <t xml:space="preserve">Likelihood/Impact</t>
  </si>
  <si>
    <t xml:space="preserve">In Progress</t>
  </si>
  <si>
    <t xml:space="preserve">Blocked</t>
  </si>
  <si>
    <t xml:space="preserve">Completed</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</si>
</sst>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6"/>
      <color rgb="FF1F4E79"/>
      <name val="Calibri"/>
      <family val="0"/>
      <charset val="1"/>
    </font>
    <font>
      <b val="true"/>
      <sz val="12"/>
      <color rgb="FF595959"/>
      <name val="Calibri"/>
      <family val="0"/>
      <charset val="1"/>
    </font>
    <font>
      <sz val="11"/>
      <color rgb="FF222222"/>
      <name val="Calibri"/>
      <family val="0"/>
      <charset val="1"/>
    </font>
    <font>
      <i val="true"/>
      <sz val="11"/>
      <color rgb="FF9C0006"/>
      <name val="Calibri"/>
      <family val="0"/>
      <charset val="1"/>
    </font>
    <font>
      <b val="true"/>
      <sz val="16"/>
      <color rgb="FFFFFFFF"/>
      <name val="Calibri"/>
      <family val="0"/>
      <charset val="1"/>
    </font>
    <font>
      <sz val="10"/>
      <color rgb="FFFFFFFF"/>
      <name val="Calibri"/>
      <family val="0"/>
      <charset val="1"/>
    </font>
    <font>
      <i val="true"/>
      <sz val="9"/>
      <color rgb="FF9C0006"/>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5"/>
      <color rgb="FF1F4E79"/>
      <name val="Calibri"/>
      <family val="0"/>
      <charset val="1"/>
    </font>
    <font>
      <b val="true"/>
      <sz val="11"/>
      <name val="Calibri"/>
      <family val="0"/>
      <charset val="1"/>
    </font>
    <font>
      <b val="true"/>
      <sz val="10"/>
      <color rgb="FFB71C1C"/>
      <name val="Calibri"/>
      <family val="0"/>
      <charset val="1"/>
    </font>
    <font>
      <b val="true"/>
      <sz val="10"/>
      <color rgb="FFE65100"/>
      <name val="Calibri"/>
      <family val="0"/>
      <charset val="1"/>
    </font>
    <font>
      <b val="true"/>
      <sz val="10"/>
      <color rgb="FF827717"/>
      <name val="Calibri"/>
      <family val="0"/>
      <charset val="1"/>
    </font>
    <font>
      <b val="true"/>
      <sz val="10"/>
      <color rgb="FF1B5E20"/>
      <name val="Calibri"/>
      <family val="0"/>
      <charset val="1"/>
    </font>
    <font>
      <b val="true"/>
      <sz val="18"/>
      <color rgb="FF000000"/>
      <name val="Calibri"/>
      <family val="2"/>
    </font>
    <font>
      <sz val="10"/>
      <color rgb="FF000000"/>
      <name val="Calibri"/>
      <family val="2"/>
    </font>
    <font>
      <b val="true"/>
      <sz val="10"/>
      <color rgb="FF000000"/>
      <name val="Calibri"/>
      <family val="2"/>
    </font>
  </fonts>
  <fills count="9">
    <fill>
      <patternFill patternType="none"/>
    </fill>
    <fill>
      <patternFill patternType="gray125"/>
    </fill>
    <fill>
      <patternFill patternType="solid">
        <fgColor rgb="FF1F4E79"/>
        <bgColor rgb="FF003366"/>
      </patternFill>
    </fill>
    <fill>
      <patternFill patternType="solid">
        <fgColor rgb="FF2E6DA4"/>
        <bgColor rgb="FF1F4E79"/>
      </patternFill>
    </fill>
    <fill>
      <patternFill patternType="solid">
        <fgColor rgb="FFFFF2CC"/>
        <bgColor rgb="FFFFF9C4"/>
      </patternFill>
    </fill>
    <fill>
      <patternFill patternType="solid">
        <fgColor rgb="FFFFCDD2"/>
        <bgColor rgb="FFFFE0B2"/>
      </patternFill>
    </fill>
    <fill>
      <patternFill patternType="solid">
        <fgColor rgb="FFFFE0B2"/>
        <bgColor rgb="FFFFF2CC"/>
      </patternFill>
    </fill>
    <fill>
      <patternFill patternType="solid">
        <fgColor rgb="FFFFF9C4"/>
        <bgColor rgb="FFFFF2CC"/>
      </patternFill>
    </fill>
    <fill>
      <patternFill patternType="solid">
        <fgColor rgb="FFC8E6C9"/>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9" fillId="3" borderId="0" xfId="0" applyFont="true" applyBorder="true" applyAlignment="true" applyProtection="false">
      <alignment horizontal="left" vertical="center" textRotation="0" wrapText="false" indent="0" shrinkToFit="false"/>
      <protection locked="true" hidden="false"/>
    </xf>
    <xf numFmtId="164" fontId="10" fillId="4" borderId="0" xfId="0" applyFont="true" applyBorder="true" applyAlignment="true" applyProtection="false">
      <alignment horizontal="left" vertical="center"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5" fontId="13" fillId="0" borderId="1" xfId="0" applyFont="true" applyBorder="true" applyAlignment="true" applyProtection="false">
      <alignment horizontal="center" vertical="top" textRotation="0" wrapText="false" indent="0" shrinkToFit="false"/>
      <protection locked="true" hidden="false"/>
    </xf>
    <xf numFmtId="164" fontId="13" fillId="0" borderId="1" xfId="0" applyFont="true" applyBorder="true" applyAlignment="true" applyProtection="false">
      <alignment horizontal="center" vertical="top" textRotation="0" wrapText="fals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bottom" textRotation="0" wrapText="false" indent="0" shrinkToFit="false"/>
      <protection locked="true" hidden="false"/>
    </xf>
    <xf numFmtId="164" fontId="16" fillId="5" borderId="1" xfId="0" applyFont="true" applyBorder="true" applyAlignment="true" applyProtection="false">
      <alignment horizontal="left" vertical="bottom" textRotation="0" wrapText="false" indent="0" shrinkToFit="false"/>
      <protection locked="true" hidden="false"/>
    </xf>
    <xf numFmtId="165" fontId="13" fillId="0" borderId="1" xfId="0" applyFont="true" applyBorder="true" applyAlignment="true" applyProtection="false">
      <alignment horizontal="center" vertical="bottom" textRotation="0" wrapText="false" indent="0" shrinkToFit="false"/>
      <protection locked="true" hidden="false"/>
    </xf>
    <xf numFmtId="164" fontId="17" fillId="6" borderId="1" xfId="0" applyFont="true" applyBorder="true" applyAlignment="true" applyProtection="false">
      <alignment horizontal="left" vertical="bottom" textRotation="0" wrapText="false" indent="0" shrinkToFit="false"/>
      <protection locked="true" hidden="false"/>
    </xf>
    <xf numFmtId="164" fontId="18" fillId="7" borderId="1" xfId="0" applyFont="true" applyBorder="true" applyAlignment="true" applyProtection="false">
      <alignment horizontal="left" vertical="bottom" textRotation="0" wrapText="false" indent="0" shrinkToFit="false"/>
      <protection locked="true" hidden="false"/>
    </xf>
    <xf numFmtId="164" fontId="19" fillId="8" borderId="1" xfId="0" applyFont="true" applyBorder="true" applyAlignment="true" applyProtection="false">
      <alignment horizontal="left"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left"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1EEC7"/>
          <bgColor rgb="FF000000"/>
        </patternFill>
      </fill>
    </dxf>
    <dxf>
      <fill>
        <patternFill patternType="solid">
          <fgColor rgb="FFF0F3C6"/>
          <bgColor rgb="FF000000"/>
        </patternFill>
      </fill>
    </dxf>
    <dxf>
      <fill>
        <patternFill patternType="solid">
          <fgColor rgb="FFFFDECC"/>
          <bgColor rgb="FF000000"/>
        </patternFill>
      </fill>
    </dxf>
    <dxf>
      <fill>
        <patternFill patternType="solid">
          <fgColor rgb="FFFFECC8"/>
          <bgColor rgb="FF000000"/>
        </patternFill>
      </fill>
    </dxf>
    <dxf>
      <fill>
        <patternFill patternType="solid">
          <fgColor rgb="FFFFEFC7"/>
          <bgColor rgb="FF000000"/>
        </patternFill>
      </fill>
    </dxf>
    <dxf>
      <fill>
        <patternFill patternType="solid">
          <fgColor rgb="FFFFF9C4"/>
          <bgColor rgb="FF000000"/>
        </patternFill>
      </fill>
    </dxf>
    <dxf>
      <fill>
        <patternFill patternType="solid">
          <fgColor rgb="FFFFCDD2"/>
          <bgColor rgb="FF000000"/>
        </patternFill>
      </fill>
    </dxf>
    <dxf>
      <fill>
        <patternFill patternType="solid">
          <fgColor rgb="FFFFE0B2"/>
          <bgColor rgb="FF000000"/>
        </patternFill>
      </fill>
    </dxf>
    <dxf>
      <fill>
        <patternFill patternType="solid">
          <fgColor rgb="FF827717"/>
          <bgColor rgb="FF000000"/>
        </patternFill>
      </fill>
    </dxf>
    <dxf>
      <fill>
        <patternFill patternType="solid">
          <fgColor rgb="FFB71C1C"/>
          <bgColor rgb="FF000000"/>
        </patternFill>
      </fill>
    </dxf>
    <dxf>
      <fill>
        <patternFill patternType="solid">
          <fgColor rgb="FFE65100"/>
          <bgColor rgb="FF000000"/>
        </patternFill>
      </fill>
    </dxf>
    <dxf>
      <font>
        <b val="1"/>
        <color rgb="FFB71C1C"/>
      </font>
      <fill>
        <patternFill>
          <bgColor rgb="FFFFCDD2"/>
        </patternFill>
      </fill>
    </dxf>
    <dxf>
      <font>
        <b val="1"/>
        <color rgb="FFE65100"/>
      </font>
      <fill>
        <patternFill>
          <bgColor rgb="FFFFE0B2"/>
        </patternFill>
      </fill>
    </dxf>
    <dxf>
      <font>
        <b val="1"/>
        <color rgb="FF827717"/>
      </font>
      <fill>
        <patternFill>
          <bgColor rgb="FFFFF9C4"/>
        </patternFill>
      </fill>
    </dxf>
    <dxf>
      <font>
        <b val="1"/>
        <color rgb="FF1B5E20"/>
      </font>
      <fill>
        <patternFill>
          <bgColor rgb="FFC8E6C9"/>
        </patternFill>
      </fill>
    </dxf>
  </dxfs>
  <colors>
    <indexedColors>
      <rgbColor rgb="FF000000"/>
      <rgbColor rgb="FFFFFFFF"/>
      <rgbColor rgb="FFFF0000"/>
      <rgbColor rgb="FF00FF00"/>
      <rgbColor rgb="FF0000FF"/>
      <rgbColor rgb="FFFFFF00"/>
      <rgbColor rgb="FFFF00FF"/>
      <rgbColor rgb="FF00FFFF"/>
      <rgbColor rgb="FF9C0006"/>
      <rgbColor rgb="FF1B5E20"/>
      <rgbColor rgb="FF000080"/>
      <rgbColor rgb="FF827717"/>
      <rgbColor rgb="FF800080"/>
      <rgbColor rgb="FF008080"/>
      <rgbColor rgb="FFBFBFBF"/>
      <rgbColor rgb="FF878787"/>
      <rgbColor rgb="FF9999FF"/>
      <rgbColor rgb="FF993366"/>
      <rgbColor rgb="FFFFF9C4"/>
      <rgbColor rgb="FFF9F9F9"/>
      <rgbColor rgb="FF660066"/>
      <rgbColor rgb="FFFF8080"/>
      <rgbColor rgb="FF2E6DA4"/>
      <rgbColor rgb="FFD9D9D9"/>
      <rgbColor rgb="FF000080"/>
      <rgbColor rgb="FFFF00FF"/>
      <rgbColor rgb="FFFFFF00"/>
      <rgbColor rgb="FF00FFFF"/>
      <rgbColor rgb="FF800080"/>
      <rgbColor rgb="FF800000"/>
      <rgbColor rgb="FF008080"/>
      <rgbColor rgb="FF0000FF"/>
      <rgbColor rgb="FF00CCFF"/>
      <rgbColor rgb="FFCCFFFF"/>
      <rgbColor rgb="FFC8E6C9"/>
      <rgbColor rgb="FFFFF2CC"/>
      <rgbColor rgb="FF99CCFF"/>
      <rgbColor rgb="FFFFCDD2"/>
      <rgbColor rgb="FFCC99FF"/>
      <rgbColor rgb="FFFFE0B2"/>
      <rgbColor rgb="FF3366FF"/>
      <rgbColor rgb="FF33CCCC"/>
      <rgbColor rgb="FF99CC00"/>
      <rgbColor rgb="FFFFCC00"/>
      <rgbColor rgb="FFFF9900"/>
      <rgbColor rgb="FFE65100"/>
      <rgbColor rgb="FF595959"/>
      <rgbColor rgb="FF969696"/>
      <rgbColor rgb="FF003366"/>
      <rgbColor rgb="FF339966"/>
      <rgbColor rgb="FF003300"/>
      <rgbColor rgb="FF333300"/>
      <rgbColor rgb="FFB71C1C"/>
      <rgbColor rgb="FF993366"/>
      <rgbColor rgb="FF1F4E7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Risk Score by Risk ID</a:t>
            </a:r>
          </a:p>
        </c:rich>
      </c:tx>
      <c:overlay val="0"/>
      <c:spPr>
        <a:noFill/>
        <a:ln w="0">
          <a:noFill/>
        </a:ln>
      </c:spPr>
    </c:title>
    <c:autoTitleDeleted val="0"/>
    <c:plotArea>
      <c:barChart>
        <c:barDir val="col"/>
        <c:grouping val="clustered"/>
        <c:varyColors val="0"/>
        <c:ser>
          <c:idx val="0"/>
          <c:order val="0"/>
          <c:tx>
            <c:strRef>
              <c:f>'Risk Register'!H4</c:f>
              <c:strCache>
                <c:ptCount val="1"/>
                <c:pt idx="0">
                  <c:v>Risk Score
(L × I)</c:v>
                </c:pt>
              </c:strCache>
            </c:strRef>
          </c:tx>
          <c:spPr>
            <a:solidFill>
              <a:srgbClr val="2e6da4"/>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'Risk Register'!$A$5:$A$14</c:f>
              <c:strCache>
                <c:ptCount val="10"/>
                <c:pt idx="0">
                  <c:v>H-01</c:v>
                </c:pt>
                <c:pt idx="1">
                  <c:v>H-02</c:v>
                </c:pt>
                <c:pt idx="2">
                  <c:v>H-03</c:v>
                </c:pt>
                <c:pt idx="3">
                  <c:v>H-04</c:v>
                </c:pt>
                <c:pt idx="4">
                  <c:v>H-05</c:v>
                </c:pt>
                <c:pt idx="5">
                  <c:v>H-06</c:v>
                </c:pt>
                <c:pt idx="6">
                  <c:v>H-07</c:v>
                </c:pt>
                <c:pt idx="7">
                  <c:v>H-08</c:v>
                </c:pt>
                <c:pt idx="8">
                  <c:v>H-09</c:v>
                </c:pt>
                <c:pt idx="9">
                  <c:v>H-10</c:v>
                </c:pt>
              </c:strCache>
            </c:strRef>
          </c:cat>
          <c:val>
            <c:numRef>
              <c:f>'Risk Register'!$H$5:$H$14</c:f>
              <c:numCache>
                <c:formatCode>General</c:formatCode>
                <c:ptCount val="10"/>
                <c:pt idx="0">
                  <c:v>20</c:v>
                </c:pt>
                <c:pt idx="1">
                  <c:v>16</c:v>
                </c:pt>
                <c:pt idx="2">
                  <c:v>12</c:v>
                </c:pt>
                <c:pt idx="3">
                  <c:v>16</c:v>
                </c:pt>
                <c:pt idx="4">
                  <c:v>15</c:v>
                </c:pt>
                <c:pt idx="5">
                  <c:v>15</c:v>
                </c:pt>
                <c:pt idx="6">
                  <c:v>12</c:v>
                </c:pt>
                <c:pt idx="7">
                  <c:v>12</c:v>
                </c:pt>
                <c:pt idx="8">
                  <c:v>9</c:v>
                </c:pt>
                <c:pt idx="9">
                  <c:v>6</c:v>
                </c:pt>
              </c:numCache>
            </c:numRef>
          </c:val>
        </c:ser>
        <c:gapWidth val="150"/>
        <c:overlap val="0"/>
        <c:axId val="60075208"/>
        <c:axId val="19221937"/>
      </c:barChart>
      <c:catAx>
        <c:axId val="6007520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Risk ID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221937"/>
        <c:crosses val="autoZero"/>
        <c:auto val="1"/>
        <c:lblAlgn val="ctr"/>
        <c:lblOffset val="100"/>
        <c:noMultiLvlLbl val="0"/>
      </c:catAx>
      <c:valAx>
        <c:axId val="1922193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Risk Score (L x I)</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07520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19</xdr:row>
      <xdr:rowOff>0</xdr:rowOff>
    </xdr:from>
    <xdr:to>
      <xdr:col>6</xdr:col>
      <xdr:colOff>433080</xdr:colOff>
      <xdr:row>36</xdr:row>
      <xdr:rowOff>1440</xdr:rowOff>
    </xdr:to>
    <xdr:graphicFrame>
      <xdr:nvGraphicFramePr>
        <xdr:cNvPr id="0" name="Chart 1"/>
        <xdr:cNvGraphicFramePr/>
      </xdr:nvGraphicFramePr>
      <xdr:xfrm>
        <a:off x="211320" y="375300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4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2" customFormat="false" ht="19.7" hidden="false" customHeight="false" outlineLevel="0" collapsed="false">
      <c r="B2" s="1" t="s">
        <v>0</v>
      </c>
    </row>
    <row r="3" customFormat="false" ht="15" hidden="false" customHeight="false" outlineLevel="0" collapsed="false">
      <c r="B3" s="2" t="s">
        <v>1</v>
      </c>
    </row>
    <row r="5" customFormat="false" ht="18" hidden="false" customHeight="true" outlineLevel="0" collapsed="false">
      <c r="B5" s="3" t="s">
        <v>2</v>
      </c>
    </row>
    <row r="6" customFormat="false" ht="36" hidden="false" customHeight="true" outlineLevel="0" collapsed="false">
      <c r="B6" s="4" t="s">
        <v>3</v>
      </c>
    </row>
    <row r="8" customFormat="false" ht="15" hidden="false" customHeight="false" outlineLevel="0" collapsed="false">
      <c r="B8" s="2" t="s">
        <v>4</v>
      </c>
    </row>
    <row r="9" customFormat="false" ht="126" hidden="false" customHeight="true" outlineLevel="0" collapsed="false">
      <c r="B9" s="3" t="s">
        <v>5</v>
      </c>
    </row>
    <row r="11" customFormat="false" ht="15" hidden="false" customHeight="false" outlineLevel="0" collapsed="false">
      <c r="B11" s="2" t="s">
        <v>6</v>
      </c>
    </row>
    <row r="12" customFormat="false" ht="90" hidden="false" customHeight="true" outlineLevel="0" collapsed="false">
      <c r="B12" s="3" t="s">
        <v>7</v>
      </c>
    </row>
    <row r="14" customFormat="false" ht="15" hidden="false" customHeight="false" outlineLevel="0" collapsed="false">
      <c r="B14" s="2" t="s">
        <v>8</v>
      </c>
    </row>
    <row r="15" customFormat="false" ht="108" hidden="false" customHeight="true" outlineLevel="0" collapsed="false">
      <c r="B15" s="3" t="s">
        <v>9</v>
      </c>
    </row>
    <row r="17" customFormat="false" ht="15" hidden="false" customHeight="false" outlineLevel="0" collapsed="false">
      <c r="B17" s="2" t="s">
        <v>10</v>
      </c>
    </row>
    <row r="18" customFormat="false" ht="36" hidden="false" customHeight="true" outlineLevel="0" collapsed="false">
      <c r="B18" s="3" t="s">
        <v>11</v>
      </c>
    </row>
    <row r="19" customFormat="false" ht="36" hidden="false" customHeight="true" outlineLevel="0" collapsed="false">
      <c r="B19" s="3" t="s">
        <v>12</v>
      </c>
    </row>
    <row r="20" customFormat="false" ht="36" hidden="false" customHeight="true" outlineLevel="0" collapsed="false">
      <c r="B20" s="3" t="s">
        <v>13</v>
      </c>
    </row>
    <row r="22" customFormat="false" ht="15" hidden="false" customHeight="false" outlineLevel="0" collapsed="false">
      <c r="B22" s="2" t="s">
        <v>14</v>
      </c>
    </row>
    <row r="23" customFormat="false" ht="18" hidden="false" customHeight="true" outlineLevel="0" collapsed="false">
      <c r="B23" s="3" t="s">
        <v>15</v>
      </c>
    </row>
    <row r="24" customFormat="false" ht="18" hidden="false" customHeight="true" outlineLevel="0" collapsed="false">
      <c r="B24" s="3" t="s">
        <v>16</v>
      </c>
    </row>
    <row r="25" customFormat="false" ht="18" hidden="false" customHeight="true" outlineLevel="0" collapsed="false">
      <c r="B25" s="3" t="s">
        <v>17</v>
      </c>
    </row>
    <row r="26" customFormat="false" ht="18" hidden="false" customHeight="true" outlineLevel="0" collapsed="false">
      <c r="B26" s="3" t="s">
        <v>18</v>
      </c>
    </row>
    <row r="27" customFormat="false" ht="18" hidden="false" customHeight="true" outlineLevel="0" collapsed="false">
      <c r="B27" s="3" t="s">
        <v>19</v>
      </c>
    </row>
    <row r="28" customFormat="false" ht="18" hidden="false" customHeight="true" outlineLevel="0" collapsed="false">
      <c r="B28" s="3" t="s">
        <v>20</v>
      </c>
    </row>
    <row r="30" customFormat="false" ht="15" hidden="false" customHeight="false" outlineLevel="0" collapsed="false">
      <c r="B30" s="2" t="s">
        <v>21</v>
      </c>
    </row>
    <row r="31" customFormat="false" ht="18" hidden="false" customHeight="true" outlineLevel="0" collapsed="false">
      <c r="B31" s="3" t="s">
        <v>22</v>
      </c>
    </row>
    <row r="32" customFormat="false" ht="18" hidden="false" customHeight="true" outlineLevel="0" collapsed="false">
      <c r="B32" s="3" t="s">
        <v>23</v>
      </c>
    </row>
    <row r="33" customFormat="false" ht="18" hidden="false" customHeight="true" outlineLevel="0" collapsed="false">
      <c r="B33" s="3" t="s">
        <v>24</v>
      </c>
    </row>
    <row r="34" customFormat="false" ht="18" hidden="false" customHeight="true" outlineLevel="0" collapsed="false">
      <c r="B34" s="3" t="s">
        <v>25</v>
      </c>
    </row>
    <row r="35" customFormat="false" ht="18" hidden="false" customHeight="true" outlineLevel="0" collapsed="false">
      <c r="B35" s="3" t="s">
        <v>26</v>
      </c>
    </row>
    <row r="36" customFormat="false" ht="18" hidden="false" customHeight="true" outlineLevel="0" collapsed="false">
      <c r="B36" s="3" t="s">
        <v>27</v>
      </c>
    </row>
    <row r="37" customFormat="false" ht="18" hidden="false" customHeight="true" outlineLevel="0" collapsed="false">
      <c r="B37" s="3" t="s">
        <v>28</v>
      </c>
    </row>
    <row r="38" customFormat="false" ht="18" hidden="false" customHeight="true" outlineLevel="0" collapsed="false">
      <c r="B38" s="3" t="s">
        <v>29</v>
      </c>
    </row>
    <row r="40" customFormat="false" ht="15" hidden="false" customHeight="false" outlineLevel="0" collapsed="false">
      <c r="B40" s="2" t="s">
        <v>30</v>
      </c>
    </row>
    <row r="41" customFormat="false" ht="90" hidden="false" customHeight="true" outlineLevel="0" collapsed="false">
      <c r="B41" s="3" t="s">
        <v>31</v>
      </c>
    </row>
    <row r="43" customFormat="false" ht="15" hidden="false" customHeight="false" outlineLevel="0" collapsed="false">
      <c r="B43" s="2" t="s">
        <v>32</v>
      </c>
    </row>
    <row r="44" customFormat="false" ht="72" hidden="false" customHeight="true" outlineLevel="0" collapsed="false">
      <c r="B44" s="4" t="s">
        <v>33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7"/>
    <col collapsed="false" customWidth="true" hidden="false" outlineLevel="0" max="3" min="3" style="0" width="26"/>
    <col collapsed="false" customWidth="true" hidden="false" outlineLevel="0" max="4" min="4" style="0" width="42"/>
    <col collapsed="false" customWidth="true" hidden="false" outlineLevel="0" max="5" min="5" style="0" width="30"/>
    <col collapsed="false" customWidth="true" hidden="false" outlineLevel="0" max="7" min="6" style="0" width="13"/>
    <col collapsed="false" customWidth="true" hidden="false" outlineLevel="0" max="9" min="8" style="0" width="12"/>
    <col collapsed="false" customWidth="true" hidden="false" outlineLevel="0" max="10" min="10" style="0" width="24"/>
    <col collapsed="false" customWidth="true" hidden="false" outlineLevel="0" max="11" min="11" style="0" width="42"/>
    <col collapsed="false" customWidth="true" hidden="false" outlineLevel="0" max="12" min="12" style="0" width="16"/>
    <col collapsed="false" customWidth="true" hidden="false" outlineLevel="0" max="13" min="13" style="0" width="18"/>
    <col collapsed="false" customWidth="true" hidden="false" outlineLevel="0" max="14" min="14" style="0" width="14"/>
  </cols>
  <sheetData>
    <row r="1" customFormat="false" ht="30" hidden="false" customHeight="true" outlineLevel="0" collapsed="false">
      <c r="A1" s="5" t="s">
        <v>0</v>
      </c>
      <c r="B1" s="5"/>
      <c r="C1" s="5"/>
      <c r="D1" s="5"/>
      <c r="E1" s="5"/>
      <c r="F1" s="5"/>
      <c r="G1" s="5"/>
      <c r="H1" s="5"/>
      <c r="I1" s="5"/>
      <c r="J1" s="5"/>
      <c r="K1" s="5"/>
      <c r="L1" s="5"/>
      <c r="M1" s="5"/>
      <c r="N1" s="5"/>
    </row>
    <row r="2" customFormat="false" ht="18" hidden="false" customHeight="true" outlineLevel="0" collapsed="false">
      <c r="A2" s="6" t="s">
        <v>34</v>
      </c>
      <c r="B2" s="6"/>
      <c r="C2" s="6"/>
      <c r="D2" s="6"/>
      <c r="E2" s="6"/>
      <c r="F2" s="6"/>
      <c r="G2" s="6"/>
      <c r="H2" s="6"/>
      <c r="I2" s="6"/>
      <c r="J2" s="6"/>
      <c r="K2" s="6"/>
      <c r="L2" s="6"/>
      <c r="M2" s="6"/>
      <c r="N2" s="6"/>
    </row>
    <row r="3" customFormat="false" ht="18" hidden="false" customHeight="true" outlineLevel="0" collapsed="false">
      <c r="A3" s="7" t="s">
        <v>35</v>
      </c>
      <c r="B3" s="7"/>
      <c r="C3" s="7"/>
      <c r="D3" s="7"/>
      <c r="E3" s="7"/>
      <c r="F3" s="7"/>
      <c r="G3" s="7"/>
      <c r="H3" s="7"/>
      <c r="I3" s="7"/>
      <c r="J3" s="7"/>
      <c r="K3" s="7"/>
      <c r="L3" s="7"/>
      <c r="M3" s="7"/>
      <c r="N3" s="7"/>
    </row>
    <row r="4" customFormat="false" ht="36" hidden="false" customHeight="true" outlineLevel="0" collapsed="false">
      <c r="A4" s="8" t="s">
        <v>36</v>
      </c>
      <c r="B4" s="8" t="s">
        <v>37</v>
      </c>
      <c r="C4" s="8" t="s">
        <v>38</v>
      </c>
      <c r="D4" s="8" t="s">
        <v>39</v>
      </c>
      <c r="E4" s="8" t="s">
        <v>40</v>
      </c>
      <c r="F4" s="8" t="s">
        <v>41</v>
      </c>
      <c r="G4" s="8" t="s">
        <v>42</v>
      </c>
      <c r="H4" s="8" t="s">
        <v>43</v>
      </c>
      <c r="I4" s="8" t="s">
        <v>44</v>
      </c>
      <c r="J4" s="8" t="s">
        <v>45</v>
      </c>
      <c r="K4" s="8" t="s">
        <v>46</v>
      </c>
      <c r="L4" s="8" t="s">
        <v>47</v>
      </c>
      <c r="M4" s="8" t="s">
        <v>48</v>
      </c>
      <c r="N4" s="8" t="s">
        <v>49</v>
      </c>
    </row>
    <row r="5" customFormat="false" ht="94.5" hidden="false" customHeight="true" outlineLevel="0" collapsed="false">
      <c r="A5" s="9" t="s">
        <v>50</v>
      </c>
      <c r="B5" s="10" t="s">
        <v>51</v>
      </c>
      <c r="C5" s="10" t="s">
        <v>52</v>
      </c>
      <c r="D5" s="10" t="s">
        <v>53</v>
      </c>
      <c r="E5" s="10" t="s">
        <v>54</v>
      </c>
      <c r="F5" s="9" t="n">
        <v>4</v>
      </c>
      <c r="G5" s="9" t="n">
        <v>5</v>
      </c>
      <c r="H5" s="11" t="n">
        <f aca="false">F5*G5</f>
        <v>20</v>
      </c>
      <c r="I5" s="12" t="str">
        <f aca="false">IF(H5&gt;=15,"Critical",IF(H5&gt;=10,"High",IF(H5&gt;=5,"Medium","Low")))</f>
        <v>Critical</v>
      </c>
      <c r="J5" s="10" t="s">
        <v>55</v>
      </c>
      <c r="K5" s="10" t="s">
        <v>56</v>
      </c>
      <c r="L5" s="10" t="s">
        <v>57</v>
      </c>
      <c r="M5" s="10" t="s">
        <v>58</v>
      </c>
      <c r="N5" s="10" t="s">
        <v>59</v>
      </c>
    </row>
    <row r="6" customFormat="false" ht="94.5" hidden="false" customHeight="true" outlineLevel="0" collapsed="false">
      <c r="A6" s="9" t="s">
        <v>60</v>
      </c>
      <c r="B6" s="10" t="s">
        <v>61</v>
      </c>
      <c r="C6" s="10" t="s">
        <v>62</v>
      </c>
      <c r="D6" s="10" t="s">
        <v>63</v>
      </c>
      <c r="E6" s="10" t="s">
        <v>64</v>
      </c>
      <c r="F6" s="9" t="n">
        <v>4</v>
      </c>
      <c r="G6" s="9" t="n">
        <v>4</v>
      </c>
      <c r="H6" s="11" t="n">
        <f aca="false">F6*G6</f>
        <v>16</v>
      </c>
      <c r="I6" s="12" t="str">
        <f aca="false">IF(H6&gt;=15,"Critical",IF(H6&gt;=10,"High",IF(H6&gt;=5,"Medium","Low")))</f>
        <v>Critical</v>
      </c>
      <c r="J6" s="10" t="s">
        <v>65</v>
      </c>
      <c r="K6" s="10" t="s">
        <v>66</v>
      </c>
      <c r="L6" s="10" t="s">
        <v>57</v>
      </c>
      <c r="M6" s="10" t="s">
        <v>67</v>
      </c>
      <c r="N6" s="10" t="s">
        <v>59</v>
      </c>
    </row>
    <row r="7" customFormat="false" ht="94.5" hidden="false" customHeight="true" outlineLevel="0" collapsed="false">
      <c r="A7" s="9" t="s">
        <v>68</v>
      </c>
      <c r="B7" s="10" t="s">
        <v>69</v>
      </c>
      <c r="C7" s="10" t="s">
        <v>70</v>
      </c>
      <c r="D7" s="10" t="s">
        <v>71</v>
      </c>
      <c r="E7" s="10" t="s">
        <v>72</v>
      </c>
      <c r="F7" s="9" t="n">
        <v>3</v>
      </c>
      <c r="G7" s="9" t="n">
        <v>4</v>
      </c>
      <c r="H7" s="11" t="n">
        <f aca="false">F7*G7</f>
        <v>12</v>
      </c>
      <c r="I7" s="12" t="str">
        <f aca="false">IF(H7&gt;=15,"Critical",IF(H7&gt;=10,"High",IF(H7&gt;=5,"Medium","Low")))</f>
        <v>High</v>
      </c>
      <c r="J7" s="10" t="s">
        <v>73</v>
      </c>
      <c r="K7" s="10" t="s">
        <v>74</v>
      </c>
      <c r="L7" s="10" t="s">
        <v>57</v>
      </c>
      <c r="M7" s="10" t="s">
        <v>75</v>
      </c>
      <c r="N7" s="10" t="s">
        <v>59</v>
      </c>
    </row>
    <row r="8" customFormat="false" ht="94.5" hidden="false" customHeight="true" outlineLevel="0" collapsed="false">
      <c r="A8" s="9" t="s">
        <v>76</v>
      </c>
      <c r="B8" s="10" t="s">
        <v>77</v>
      </c>
      <c r="C8" s="10" t="s">
        <v>78</v>
      </c>
      <c r="D8" s="10" t="s">
        <v>79</v>
      </c>
      <c r="E8" s="10" t="s">
        <v>80</v>
      </c>
      <c r="F8" s="9" t="n">
        <v>4</v>
      </c>
      <c r="G8" s="9" t="n">
        <v>4</v>
      </c>
      <c r="H8" s="11" t="n">
        <f aca="false">F8*G8</f>
        <v>16</v>
      </c>
      <c r="I8" s="12" t="str">
        <f aca="false">IF(H8&gt;=15,"Critical",IF(H8&gt;=10,"High",IF(H8&gt;=5,"Medium","Low")))</f>
        <v>Critical</v>
      </c>
      <c r="J8" s="10" t="s">
        <v>81</v>
      </c>
      <c r="K8" s="10" t="s">
        <v>82</v>
      </c>
      <c r="L8" s="10" t="s">
        <v>57</v>
      </c>
      <c r="M8" s="10" t="s">
        <v>58</v>
      </c>
      <c r="N8" s="10" t="s">
        <v>59</v>
      </c>
    </row>
    <row r="9" customFormat="false" ht="94.5" hidden="false" customHeight="true" outlineLevel="0" collapsed="false">
      <c r="A9" s="9" t="s">
        <v>83</v>
      </c>
      <c r="B9" s="10" t="s">
        <v>84</v>
      </c>
      <c r="C9" s="10" t="s">
        <v>85</v>
      </c>
      <c r="D9" s="10" t="s">
        <v>86</v>
      </c>
      <c r="E9" s="10" t="s">
        <v>87</v>
      </c>
      <c r="F9" s="9" t="n">
        <v>3</v>
      </c>
      <c r="G9" s="9" t="n">
        <v>5</v>
      </c>
      <c r="H9" s="11" t="n">
        <f aca="false">F9*G9</f>
        <v>15</v>
      </c>
      <c r="I9" s="12" t="str">
        <f aca="false">IF(H9&gt;=15,"Critical",IF(H9&gt;=10,"High",IF(H9&gt;=5,"Medium","Low")))</f>
        <v>Critical</v>
      </c>
      <c r="J9" s="10" t="s">
        <v>88</v>
      </c>
      <c r="K9" s="10" t="s">
        <v>89</v>
      </c>
      <c r="L9" s="10" t="s">
        <v>57</v>
      </c>
      <c r="M9" s="10" t="s">
        <v>58</v>
      </c>
      <c r="N9" s="10" t="s">
        <v>59</v>
      </c>
    </row>
    <row r="10" customFormat="false" ht="108" hidden="false" customHeight="true" outlineLevel="0" collapsed="false">
      <c r="A10" s="9" t="s">
        <v>90</v>
      </c>
      <c r="B10" s="10" t="s">
        <v>91</v>
      </c>
      <c r="C10" s="10" t="s">
        <v>92</v>
      </c>
      <c r="D10" s="10" t="s">
        <v>93</v>
      </c>
      <c r="E10" s="10" t="s">
        <v>94</v>
      </c>
      <c r="F10" s="9" t="n">
        <v>3</v>
      </c>
      <c r="G10" s="9" t="n">
        <v>5</v>
      </c>
      <c r="H10" s="11" t="n">
        <f aca="false">F10*G10</f>
        <v>15</v>
      </c>
      <c r="I10" s="12" t="str">
        <f aca="false">IF(H10&gt;=15,"Critical",IF(H10&gt;=10,"High",IF(H10&gt;=5,"Medium","Low")))</f>
        <v>Critical</v>
      </c>
      <c r="J10" s="10" t="s">
        <v>95</v>
      </c>
      <c r="K10" s="10" t="s">
        <v>96</v>
      </c>
      <c r="L10" s="10" t="s">
        <v>57</v>
      </c>
      <c r="M10" s="10" t="s">
        <v>67</v>
      </c>
      <c r="N10" s="10" t="s">
        <v>59</v>
      </c>
    </row>
    <row r="11" customFormat="false" ht="94.5" hidden="false" customHeight="true" outlineLevel="0" collapsed="false">
      <c r="A11" s="9" t="s">
        <v>97</v>
      </c>
      <c r="B11" s="10" t="s">
        <v>98</v>
      </c>
      <c r="C11" s="10" t="s">
        <v>99</v>
      </c>
      <c r="D11" s="10" t="s">
        <v>100</v>
      </c>
      <c r="E11" s="10" t="s">
        <v>101</v>
      </c>
      <c r="F11" s="9" t="n">
        <v>3</v>
      </c>
      <c r="G11" s="9" t="n">
        <v>4</v>
      </c>
      <c r="H11" s="11" t="n">
        <f aca="false">F11*G11</f>
        <v>12</v>
      </c>
      <c r="I11" s="12" t="str">
        <f aca="false">IF(H11&gt;=15,"Critical",IF(H11&gt;=10,"High",IF(H11&gt;=5,"Medium","Low")))</f>
        <v>High</v>
      </c>
      <c r="J11" s="10" t="s">
        <v>102</v>
      </c>
      <c r="K11" s="10" t="s">
        <v>103</v>
      </c>
      <c r="L11" s="10" t="s">
        <v>57</v>
      </c>
      <c r="M11" s="10" t="s">
        <v>67</v>
      </c>
      <c r="N11" s="10" t="s">
        <v>59</v>
      </c>
    </row>
    <row r="12" customFormat="false" ht="94.5" hidden="false" customHeight="true" outlineLevel="0" collapsed="false">
      <c r="A12" s="9" t="s">
        <v>104</v>
      </c>
      <c r="B12" s="10" t="s">
        <v>105</v>
      </c>
      <c r="C12" s="10" t="s">
        <v>106</v>
      </c>
      <c r="D12" s="10" t="s">
        <v>107</v>
      </c>
      <c r="E12" s="10" t="s">
        <v>108</v>
      </c>
      <c r="F12" s="9" t="n">
        <v>4</v>
      </c>
      <c r="G12" s="9" t="n">
        <v>3</v>
      </c>
      <c r="H12" s="11" t="n">
        <f aca="false">F12*G12</f>
        <v>12</v>
      </c>
      <c r="I12" s="12" t="str">
        <f aca="false">IF(H12&gt;=15,"Critical",IF(H12&gt;=10,"High",IF(H12&gt;=5,"Medium","Low")))</f>
        <v>High</v>
      </c>
      <c r="J12" s="10" t="s">
        <v>109</v>
      </c>
      <c r="K12" s="10" t="s">
        <v>110</v>
      </c>
      <c r="L12" s="10" t="s">
        <v>57</v>
      </c>
      <c r="M12" s="10" t="s">
        <v>75</v>
      </c>
      <c r="N12" s="10" t="s">
        <v>59</v>
      </c>
    </row>
    <row r="13" customFormat="false" ht="94.5" hidden="false" customHeight="true" outlineLevel="0" collapsed="false">
      <c r="A13" s="9" t="s">
        <v>111</v>
      </c>
      <c r="B13" s="10" t="s">
        <v>112</v>
      </c>
      <c r="C13" s="10" t="s">
        <v>113</v>
      </c>
      <c r="D13" s="10" t="s">
        <v>114</v>
      </c>
      <c r="E13" s="10" t="s">
        <v>115</v>
      </c>
      <c r="F13" s="9" t="n">
        <v>3</v>
      </c>
      <c r="G13" s="9" t="n">
        <v>3</v>
      </c>
      <c r="H13" s="11" t="n">
        <f aca="false">F13*G13</f>
        <v>9</v>
      </c>
      <c r="I13" s="12" t="str">
        <f aca="false">IF(H13&gt;=15,"Critical",IF(H13&gt;=10,"High",IF(H13&gt;=5,"Medium","Low")))</f>
        <v>Medium</v>
      </c>
      <c r="J13" s="10" t="s">
        <v>116</v>
      </c>
      <c r="K13" s="10" t="s">
        <v>117</v>
      </c>
      <c r="L13" s="10" t="s">
        <v>50</v>
      </c>
      <c r="M13" s="10" t="s">
        <v>58</v>
      </c>
      <c r="N13" s="10" t="s">
        <v>59</v>
      </c>
    </row>
    <row r="14" customFormat="false" ht="108" hidden="false" customHeight="true" outlineLevel="0" collapsed="false">
      <c r="A14" s="9" t="s">
        <v>118</v>
      </c>
      <c r="B14" s="10" t="s">
        <v>119</v>
      </c>
      <c r="C14" s="10" t="s">
        <v>120</v>
      </c>
      <c r="D14" s="10" t="s">
        <v>121</v>
      </c>
      <c r="E14" s="10" t="s">
        <v>122</v>
      </c>
      <c r="F14" s="9" t="n">
        <v>2</v>
      </c>
      <c r="G14" s="9" t="n">
        <v>3</v>
      </c>
      <c r="H14" s="11" t="n">
        <f aca="false">F14*G14</f>
        <v>6</v>
      </c>
      <c r="I14" s="12" t="str">
        <f aca="false">IF(H14&gt;=15,"Critical",IF(H14&gt;=10,"High",IF(H14&gt;=5,"Medium","Low")))</f>
        <v>Medium</v>
      </c>
      <c r="J14" s="10" t="s">
        <v>123</v>
      </c>
      <c r="K14" s="10" t="s">
        <v>124</v>
      </c>
      <c r="L14" s="10" t="s">
        <v>57</v>
      </c>
      <c r="M14" s="10" t="s">
        <v>67</v>
      </c>
      <c r="N14" s="10" t="s">
        <v>59</v>
      </c>
    </row>
  </sheetData>
  <autoFilter ref="A4:N200"/>
  <mergeCells count="3">
    <mergeCell ref="A1:N1"/>
    <mergeCell ref="A2:N2"/>
    <mergeCell ref="A3:N3"/>
  </mergeCells>
  <conditionalFormatting sqref="H5:H14">
    <cfRule type="colorScale" priority="2">
      <colorScale>
        <cfvo type="num" val="1"/>
        <cfvo type="num" val="12"/>
        <cfvo type="num" val="25"/>
        <color rgb="FFC8E6C9"/>
        <color rgb="FFFFF9C4"/>
        <color rgb="FFFFCDD2"/>
      </colorScale>
    </cfRule>
  </conditionalFormatting>
  <conditionalFormatting sqref="I5:I14">
    <cfRule type="cellIs" priority="3" operator="equal" aboveAverage="0" equalAverage="0" bottom="0" percent="0" rank="0" text="" dxfId="15">
      <formula>"Critical"</formula>
    </cfRule>
    <cfRule type="cellIs" priority="4" operator="equal" aboveAverage="0" equalAverage="0" bottom="0" percent="0" rank="0" text="" dxfId="16">
      <formula>"High"</formula>
    </cfRule>
    <cfRule type="cellIs" priority="5" operator="equal" aboveAverage="0" equalAverage="0" bottom="0" percent="0" rank="0" text="" dxfId="17">
      <formula>"Medium"</formula>
    </cfRule>
    <cfRule type="cellIs" priority="6" operator="equal" aboveAverage="0" equalAverage="0" bottom="0" percent="0" rank="0" text="" dxfId="18">
      <formula>"Low"</formula>
    </cfRule>
  </conditionalFormatting>
  <dataValidations count="2">
    <dataValidation allowBlank="true" errorStyle="stop" operator="between" showDropDown="false" showErrorMessage="false" showInputMessage="false" sqref="F5:G54" type="list">
      <formula1>"1,2,3,4,5"</formula1>
      <formula2>0</formula2>
    </dataValidation>
    <dataValidation allowBlank="true" errorStyle="stop" operator="between" showDropDown="false" showErrorMessage="false" showInputMessage="false" sqref="N5:N54" type="list">
      <formula1>"Not Started,In Progress,Blocked,Completed"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5" min="3" style="0" width="14"/>
  </cols>
  <sheetData>
    <row r="2" customFormat="false" ht="25.5" hidden="false" customHeight="true" outlineLevel="0" collapsed="false">
      <c r="B2" s="13" t="s">
        <v>125</v>
      </c>
      <c r="C2" s="13"/>
      <c r="D2" s="13"/>
      <c r="E2" s="13"/>
    </row>
    <row r="3" customFormat="false" ht="15" hidden="false" customHeight="false" outlineLevel="0" collapsed="false">
      <c r="B3" s="14" t="s">
        <v>126</v>
      </c>
    </row>
    <row r="6" customFormat="false" ht="15" hidden="false" customHeight="false" outlineLevel="0" collapsed="false">
      <c r="B6" s="15" t="s">
        <v>44</v>
      </c>
      <c r="C6" s="15" t="s">
        <v>127</v>
      </c>
    </row>
    <row r="7" customFormat="false" ht="15" hidden="false" customHeight="false" outlineLevel="0" collapsed="false">
      <c r="B7" s="16" t="s">
        <v>128</v>
      </c>
      <c r="C7" s="17" t="n">
        <f aca="false">COUNTIF('Risk Register'!$I$5:$I$14,"Critical")</f>
        <v>5</v>
      </c>
    </row>
    <row r="8" customFormat="false" ht="15" hidden="false" customHeight="false" outlineLevel="0" collapsed="false">
      <c r="B8" s="18" t="s">
        <v>129</v>
      </c>
      <c r="C8" s="17" t="n">
        <f aca="false">COUNTIF('Risk Register'!$I$5:$I$14,"High")</f>
        <v>3</v>
      </c>
    </row>
    <row r="9" customFormat="false" ht="15" hidden="false" customHeight="false" outlineLevel="0" collapsed="false">
      <c r="B9" s="19" t="s">
        <v>130</v>
      </c>
      <c r="C9" s="17" t="n">
        <f aca="false">COUNTIF('Risk Register'!$I$5:$I$14,"Medium")</f>
        <v>2</v>
      </c>
    </row>
    <row r="10" customFormat="false" ht="15" hidden="false" customHeight="false" outlineLevel="0" collapsed="false">
      <c r="B10" s="20" t="s">
        <v>131</v>
      </c>
      <c r="C10" s="17" t="n">
        <f aca="false">COUNTIF('Risk Register'!$I$5:$I$14,"Low")</f>
        <v>0</v>
      </c>
    </row>
    <row r="11" customFormat="false" ht="15" hidden="false" customHeight="false" outlineLevel="0" collapsed="false">
      <c r="B11" s="21" t="s">
        <v>132</v>
      </c>
      <c r="C11" s="17" t="n">
        <f aca="false">SUM(C7:C10)</f>
        <v>10</v>
      </c>
    </row>
    <row r="13" customFormat="false" ht="15" hidden="false" customHeight="false" outlineLevel="0" collapsed="false">
      <c r="B13" s="22" t="s">
        <v>133</v>
      </c>
      <c r="C13" s="22"/>
    </row>
    <row r="14" customFormat="false" ht="15" hidden="false" customHeight="false" outlineLevel="0" collapsed="false">
      <c r="B14" s="23" t="s">
        <v>134</v>
      </c>
      <c r="C14" s="17" t="n">
        <f aca="false">ROUND(AVERAGE('Risk Register'!$H$5:$H$14),1)</f>
        <v>13.3</v>
      </c>
    </row>
    <row r="15" customFormat="false" ht="15" hidden="false" customHeight="false" outlineLevel="0" collapsed="false">
      <c r="B15" s="23" t="s">
        <v>135</v>
      </c>
      <c r="C15" s="17" t="n">
        <f aca="false">MAX('Risk Register'!$H$5:$H$14)</f>
        <v>20</v>
      </c>
    </row>
    <row r="16" customFormat="false" ht="15" hidden="false" customHeight="false" outlineLevel="0" collapsed="false">
      <c r="B16" s="23" t="s">
        <v>136</v>
      </c>
      <c r="C16" s="17" t="n">
        <f aca="false">MIN('Risk Register'!$H$5:$H$14)</f>
        <v>6</v>
      </c>
    </row>
  </sheetData>
  <mergeCells count="1">
    <mergeCell ref="B2:E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4" t="s">
        <v>137</v>
      </c>
      <c r="B1" s="24" t="s">
        <v>49</v>
      </c>
    </row>
    <row r="2" customFormat="false" ht="15" hidden="false" customHeight="false" outlineLevel="0" collapsed="false">
      <c r="A2" s="24" t="n">
        <v>1</v>
      </c>
      <c r="B2" s="24" t="s">
        <v>59</v>
      </c>
    </row>
    <row r="3" customFormat="false" ht="15" hidden="false" customHeight="false" outlineLevel="0" collapsed="false">
      <c r="A3" s="24" t="n">
        <v>2</v>
      </c>
      <c r="B3" s="24" t="s">
        <v>138</v>
      </c>
    </row>
    <row r="4" customFormat="false" ht="15" hidden="false" customHeight="false" outlineLevel="0" collapsed="false">
      <c r="A4" s="24" t="n">
        <v>3</v>
      </c>
      <c r="B4" s="24" t="s">
        <v>139</v>
      </c>
    </row>
    <row r="5" customFormat="false" ht="15" hidden="false" customHeight="false" outlineLevel="0" collapsed="false">
      <c r="A5" s="24" t="n">
        <v>4</v>
      </c>
      <c r="B5" s="24" t="s">
        <v>140</v>
      </c>
    </row>
    <row r="6" customFormat="false" ht="15" hidden="false" customHeight="false" outlineLevel="0" collapsed="false">
      <c r="A6" s="0" t="n">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2026-06-22T03:53:09Z</dcterms:created>
  <dc:creator>openpyxl</dc:creator>
  <dc:description/>
  <dc:language>en-US</dc:language>
  <cp:lastModifiedBy/>
  <dcterms:modified xsi:type="dcterms:W3CDTF">2026-06-22T03:53:16Z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