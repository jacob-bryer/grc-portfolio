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ookup" sheetId="2" state="visible" r:id="rId2"/>
    <sheet xmlns:r="http://schemas.openxmlformats.org/officeDocument/2006/relationships" name="Risk Register" sheetId="3" state="visible" r:id="rId3"/>
  </sheets>
  <definedNames>
    <definedName name="_xlnm._FilterDatabase" localSheetId="2" hidden="1">'Risk Register'!$A$4:$N$200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4D40"/>
      <sz val="16"/>
    </font>
    <font>
      <name val="Calibri"/>
      <i val="1"/>
      <color rgb="00555555"/>
      <sz val="11"/>
    </font>
    <font>
      <name val="Calibri"/>
      <b val="1"/>
      <color rgb="00004D40"/>
      <sz val="13"/>
    </font>
    <font>
      <name val="Calibri"/>
      <sz val="11"/>
    </font>
    <font>
      <name val="Calibri"/>
      <b val="1"/>
      <color rgb="00FFFFFF"/>
      <sz val="11"/>
    </font>
  </fonts>
  <fills count="3">
    <fill>
      <patternFill/>
    </fill>
    <fill>
      <patternFill patternType="gray125"/>
    </fill>
    <fill>
      <patternFill patternType="solid">
        <fgColor rgb="00004D40"/>
        <bgColor rgb="00004D40"/>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dxfs count="4">
    <dxf>
      <font>
        <b val="1"/>
        <color rgb="00B71C1C"/>
      </font>
      <fill>
        <patternFill patternType="solid">
          <fgColor rgb="00FFCDD2"/>
          <bgColor rgb="00FFCDD2"/>
        </patternFill>
      </fill>
    </dxf>
    <dxf>
      <font>
        <b val="1"/>
        <color rgb="00E65100"/>
      </font>
      <fill>
        <patternFill patternType="solid">
          <fgColor rgb="00FFE0B2"/>
          <bgColor rgb="00FFE0B2"/>
        </patternFill>
      </fill>
    </dxf>
    <dxf>
      <font>
        <b val="1"/>
        <color rgb="00F57F17"/>
      </font>
      <fill>
        <patternFill patternType="solid">
          <fgColor rgb="00FFF9C4"/>
          <bgColor rgb="00FFF9C4"/>
        </patternFill>
      </fill>
    </dxf>
    <dxf>
      <font>
        <b val="1"/>
        <color rgb="001B5E20"/>
      </font>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4"/>
  <sheetViews>
    <sheetView showGridLines="0" workbookViewId="0">
      <selection activeCell="A1" sqref="A1"/>
    </sheetView>
  </sheetViews>
  <sheetFormatPr baseColWidth="8" defaultRowHeight="15"/>
  <cols>
    <col width="115" customWidth="1" min="2" max="2"/>
  </cols>
  <sheetData>
    <row r="2">
      <c r="B2" s="1" t="inlineStr">
        <is>
          <t>Lakeside Family Clinic — HIPAA Quantified Risk Register</t>
        </is>
      </c>
    </row>
    <row r="3">
      <c r="B3" s="2" t="inlineStr">
        <is>
          <t>Quantified Healthcare Risk Analysis &amp; Remediation Matrix | Portfolio Context</t>
        </is>
      </c>
    </row>
    <row r="5">
      <c r="B5" s="3" t="inlineStr">
        <is>
          <t>Scenario</t>
        </is>
      </c>
    </row>
    <row r="6" ht="105" customHeight="1">
      <c r="B6" s="4" t="inlineStr">
        <is>
          <t>Lakeside Family Clinic is a fictional small medical practice providing primary care to local patients. The clinic has about 25 employees — physicians, nurses, billing staff, front desk, and administrative support.
Day to day, the clinic runs on an EHR system, email, shared workstations, scheduling software, billing tools, and cloud-based file storage. Because they're handling protected health information, leadership wanted a clearer picture of where their security posture actually stood and what gaps could turn into compliance, operational, or financial problems.</t>
        </is>
      </c>
    </row>
    <row r="8">
      <c r="B8" s="3" t="inlineStr">
        <is>
          <t>Objective</t>
        </is>
      </c>
    </row>
    <row r="9" ht="60" customHeight="1">
      <c r="B9" s="4" t="inlineStr">
        <is>
          <t>I evaluated the clinic's current security practices against HIPAA Security Rule concepts to find risks affecting the confidentiality, integrity, and availability of electronic protected health information (ePHI). This scenario leans into regulatory requirements, practical risk scoring, and communicating risk in a way that actually supports compliance and business decisions — not just listing findings.</t>
        </is>
      </c>
    </row>
    <row r="11">
      <c r="B11" s="3" t="inlineStr">
        <is>
          <t>Scope</t>
        </is>
      </c>
    </row>
    <row r="12" ht="270" customHeight="1">
      <c r="B12" s="4" t="inlineStr">
        <is>
          <t>This assessment covers:
• Access controls for systems containing patient information
• User account provisioning and deprovisioning
• Multi-factor authentication
• Workstation security
• Email and phishing risk
• Data backup and recovery
• Audit logging and monitoring
• Security awareness training
• Incident response readiness
• Vendor and third-party risk
• Policies and procedures related to patient data protection
Clinical care quality, billing accuracy, legal interpretation of HIPAA, and physical facility safety are outside the scope of this assessment.</t>
        </is>
      </c>
    </row>
    <row r="14">
      <c r="B14" s="3" t="inlineStr">
        <is>
          <t>Assumptions</t>
        </is>
      </c>
    </row>
    <row r="15" ht="75" customHeight="1">
      <c r="B15" s="4" t="inlineStr">
        <is>
          <t>• Findings are based on the fictional clinic environment and stakeholder representations described above, not on technical testing.
• No vulnerability scanning or penetration testing was performed as part of this scenario.
• Risk scoring reflects a point-in-time snapshot and assumes no changes were made during the engagement.</t>
        </is>
      </c>
    </row>
    <row r="17">
      <c r="B17" s="3" t="inlineStr">
        <is>
          <t>Methodology</t>
        </is>
      </c>
    </row>
    <row r="18" ht="135" customHeight="1">
      <c r="B18" s="4" t="inlineStr">
        <is>
          <t>1. Review the fictional clinic environment and assumptions
2. Identify systems and processes that store, process, or transmit ePHI
3. Evaluate current safeguards against HIPAA Security Rule concepts
4. Document security gaps and the business risk behind each one
5. Score each risk by likelihood, impact, and estimated financial exposure
6. Recommend remediation steps based on risk priority</t>
        </is>
      </c>
    </row>
    <row r="20">
      <c r="B20" s="3" t="inlineStr">
        <is>
          <t>Key Risk Themes</t>
        </is>
      </c>
    </row>
    <row r="21" ht="150" customHeight="1">
      <c r="B21" s="4" t="inlineStr">
        <is>
          <t>• Inconsistent multi-factor authentication
• Shared workstation access concerns
• Limited audit log review
• Weak user offboarding process
• Backup recovery procedures that haven't been tested
• No formal incident response plan
• Limited vendor risk documentation
• Security training not run on a consistent schedule</t>
        </is>
      </c>
    </row>
    <row r="23">
      <c r="B23" s="3" t="inlineStr">
        <is>
          <t>Disclaimer</t>
        </is>
      </c>
    </row>
    <row r="24" ht="45" customHeight="1">
      <c r="B24" s="4" t="inlineStr">
        <is>
          <t>Lakeside Family Clinic is a fictional company created for portfolio purposes. All findings, risks, and recommendations in this workbook are fictional and don't represent any real company or client. This isn't legal advice and isn't a formal HIPAA compliance determination.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Likelihood/Impact</t>
        </is>
      </c>
      <c r="B1" t="inlineStr">
        <is>
          <t>Status</t>
        </is>
      </c>
    </row>
    <row r="2">
      <c r="A2" t="n">
        <v>1</v>
      </c>
      <c r="B2" t="inlineStr">
        <is>
          <t>Not Started</t>
        </is>
      </c>
    </row>
    <row r="3">
      <c r="A3" t="n">
        <v>2</v>
      </c>
      <c r="B3" t="inlineStr">
        <is>
          <t>Blocked</t>
        </is>
      </c>
    </row>
    <row r="4">
      <c r="A4" t="n">
        <v>3</v>
      </c>
      <c r="B4" t="inlineStr">
        <is>
          <t>Completed</t>
        </is>
      </c>
    </row>
    <row r="5">
      <c r="A5" t="n">
        <v>4</v>
      </c>
    </row>
    <row r="6">
      <c r="A6"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4:N14"/>
  <sheetViews>
    <sheetView showGridLines="1" workbookViewId="0">
      <pane ySplit="4" topLeftCell="A5" activePane="bottomLeft" state="frozen"/>
      <selection pane="bottomLeft" activeCell="A1" sqref="A1"/>
    </sheetView>
  </sheetViews>
  <sheetFormatPr baseColWidth="8" defaultRowHeight="15"/>
  <cols>
    <col width="9" customWidth="1" min="1" max="1"/>
    <col width="15" customWidth="1" min="2" max="2"/>
    <col width="24" customWidth="1" min="3" max="3"/>
    <col width="38" customWidth="1" min="4" max="4"/>
    <col width="28" customWidth="1" min="5" max="5"/>
    <col width="12" customWidth="1" min="6" max="6"/>
    <col width="12" customWidth="1" min="7" max="7"/>
    <col width="12" customWidth="1" min="8" max="8"/>
    <col width="12" customWidth="1" min="9" max="9"/>
    <col width="22" customWidth="1" min="10" max="10"/>
    <col width="38" customWidth="1" min="11" max="11"/>
    <col width="14" customWidth="1" min="12" max="12"/>
    <col width="16" customWidth="1" min="13" max="13"/>
    <col width="14" customWidth="1" min="14" max="14"/>
  </cols>
  <sheetData>
    <row r="4" ht="32" customHeight="1">
      <c r="A4" s="5" t="inlineStr">
        <is>
          <t>Risk ID</t>
        </is>
      </c>
      <c r="B4" s="5" t="inlineStr">
        <is>
          <t>HIPAA Reference</t>
        </is>
      </c>
      <c r="C4" s="5" t="inlineStr">
        <is>
          <t>Risk Theme</t>
        </is>
      </c>
      <c r="D4" s="5" t="inlineStr">
        <is>
          <t>Risk Description</t>
        </is>
      </c>
      <c r="E4" s="5" t="inlineStr">
        <is>
          <t>Current Controls / Safeguards</t>
        </is>
      </c>
      <c r="F4" s="5" t="inlineStr">
        <is>
          <t>Likelihood (1-5)</t>
        </is>
      </c>
      <c r="G4" s="5" t="inlineStr">
        <is>
          <t>Impact (1-5)</t>
        </is>
      </c>
      <c r="H4" s="5" t="inlineStr">
        <is>
          <t>Risk Score (L x I)</t>
        </is>
      </c>
      <c r="I4" s="5" t="inlineStr">
        <is>
          <t>Risk Level</t>
        </is>
      </c>
      <c r="J4" s="5" t="inlineStr">
        <is>
          <t>Est. Financial Exposure</t>
        </is>
      </c>
      <c r="K4" s="5" t="inlineStr">
        <is>
          <t>Recommended Remediation Action</t>
        </is>
      </c>
      <c r="L4" s="5" t="inlineStr">
        <is>
          <t>Dependencies</t>
        </is>
      </c>
      <c r="M4" s="5" t="inlineStr">
        <is>
          <t>Owner</t>
        </is>
      </c>
      <c r="N4" s="5" t="inlineStr">
        <is>
          <t>Status</t>
        </is>
      </c>
    </row>
    <row r="5" ht="65" customHeight="1">
      <c r="A5" s="6" t="inlineStr">
        <is>
          <t>H-01</t>
        </is>
      </c>
      <c r="B5" s="6" t="inlineStr">
        <is>
          <t>§164.312(a)(1)</t>
        </is>
      </c>
      <c r="C5" s="7" t="inlineStr">
        <is>
          <t>Inconsistent multi-factor authentication</t>
        </is>
      </c>
      <c r="D5" s="7" t="inlineStr">
        <is>
          <t>Remote accounts accessing email, cloud file storage, and the primary EHR system do not require MFA, creating exposure to credential stuffing and brute-force takeover.</t>
        </is>
      </c>
      <c r="E5" s="7" t="inlineStr">
        <is>
          <t>MFA is available on cloud platforms but only turned on for external IT support administrative accounts.</t>
        </is>
      </c>
      <c r="F5" s="6" t="n">
        <v>4</v>
      </c>
      <c r="G5" s="6" t="n">
        <v>5</v>
      </c>
      <c r="H5" s="6">
        <f>F5*G5</f>
        <v/>
      </c>
      <c r="I5" s="6">
        <f>IF(H5&gt;=15, "Critical", IF(H5&gt;=10, "High", IF(H5&gt;=5, "Medium", "Low")))</f>
        <v/>
      </c>
      <c r="J5" s="6" t="inlineStr">
        <is>
          <t>$125,000 - $300,000</t>
        </is>
      </c>
      <c r="K5" s="7" t="inlineStr">
        <is>
          <t>Implement M365 conditional access policies to mandate MFA for all user accounts without exception.</t>
        </is>
      </c>
      <c r="L5" s="6" t="inlineStr">
        <is>
          <t>None</t>
        </is>
      </c>
      <c r="M5" s="6" t="inlineStr">
        <is>
          <t>IT Manager</t>
        </is>
      </c>
      <c r="N5" s="6" t="inlineStr">
        <is>
          <t>Not Started</t>
        </is>
      </c>
    </row>
    <row r="6" ht="65" customHeight="1">
      <c r="A6" s="6" t="inlineStr">
        <is>
          <t>H-02</t>
        </is>
      </c>
      <c r="B6" s="6" t="inlineStr">
        <is>
          <t>§164.312(a)(2)(iii)</t>
        </is>
      </c>
      <c r="C6" s="7" t="inlineStr">
        <is>
          <t>Shared workstation access concerns</t>
        </is>
      </c>
      <c r="D6" s="7" t="inlineStr">
        <is>
          <t>Nurses and front-desk personnel use a unified generic login pattern on shared clinical floor endpoints. Individual system actions cannot be tied to specific staff members.</t>
        </is>
      </c>
      <c r="E6" s="7" t="inlineStr">
        <is>
          <t>Screens lock automatically after 15 minutes of inactivity, but unlock back to the generic active session.</t>
        </is>
      </c>
      <c r="F6" s="6" t="n">
        <v>4</v>
      </c>
      <c r="G6" s="6" t="n">
        <v>4</v>
      </c>
      <c r="H6" s="6">
        <f>F6*G6</f>
        <v/>
      </c>
      <c r="I6" s="6">
        <f>IF(H6&gt;=15, "Critical", IF(H6&gt;=10, "High", IF(H6&gt;=5, "Medium", "Low")))</f>
        <v/>
      </c>
      <c r="J6" s="6" t="inlineStr">
        <is>
          <t>$50,000 - $120,000</t>
        </is>
      </c>
      <c r="K6" s="7" t="inlineStr">
        <is>
          <t>Provision individualized directory logins and look into rapid tap-in/tap-out badge solutions for active clinical rotations.</t>
        </is>
      </c>
      <c r="L6" s="6" t="inlineStr">
        <is>
          <t>None</t>
        </is>
      </c>
      <c r="M6" s="6" t="inlineStr">
        <is>
          <t>Practice Manager</t>
        </is>
      </c>
      <c r="N6" s="6" t="inlineStr">
        <is>
          <t>Not Started</t>
        </is>
      </c>
    </row>
    <row r="7" ht="65" customHeight="1">
      <c r="A7" s="6" t="inlineStr">
        <is>
          <t>H-03</t>
        </is>
      </c>
      <c r="B7" s="6" t="inlineStr">
        <is>
          <t>§164.308(a)(3)(ii)(C)</t>
        </is>
      </c>
      <c r="C7" s="7" t="inlineStr">
        <is>
          <t>Weak user offboarding process</t>
        </is>
      </c>
      <c r="D7" s="7" t="inlineStr">
        <is>
          <t>Departed personnel remain active on third-party billing networks and email systems due to informal notification structures between administration and IT.</t>
        </is>
      </c>
      <c r="E7" s="7" t="inlineStr">
        <is>
          <t>Access removal requests are handled as needed via standard internal email chains.</t>
        </is>
      </c>
      <c r="F7" s="6" t="n">
        <v>3</v>
      </c>
      <c r="G7" s="6" t="n">
        <v>4</v>
      </c>
      <c r="H7" s="6">
        <f>F7*G7</f>
        <v/>
      </c>
      <c r="I7" s="6">
        <f>IF(H7&gt;=15, "Critical", IF(H7&gt;=10, "High", IF(H7&gt;=5, "Medium", "Low")))</f>
        <v/>
      </c>
      <c r="J7" s="6" t="inlineStr">
        <is>
          <t>$75,000 - $180,000</t>
        </is>
      </c>
      <c r="K7" s="7" t="inlineStr">
        <is>
          <t>Establish a formal HR-to-IT offboarding SLA requiring absolute administrative lockouts within 24 hours of separation.</t>
        </is>
      </c>
      <c r="L7" s="6" t="inlineStr">
        <is>
          <t>None</t>
        </is>
      </c>
      <c r="M7" s="6" t="inlineStr">
        <is>
          <t>HR Director</t>
        </is>
      </c>
      <c r="N7" s="6" t="inlineStr">
        <is>
          <t>Not Started</t>
        </is>
      </c>
    </row>
    <row r="8" ht="65" customHeight="1">
      <c r="A8" s="6" t="inlineStr">
        <is>
          <t>H-04</t>
        </is>
      </c>
      <c r="B8" s="6" t="inlineStr">
        <is>
          <t>§164.312(b)</t>
        </is>
      </c>
      <c r="C8" s="7" t="inlineStr">
        <is>
          <t>Limited audit log review</t>
        </is>
      </c>
      <c r="D8" s="7" t="inlineStr">
        <is>
          <t>EHR platform logs security exceptions, record exports, and access events, but these metrics are never audited or reviewed for anomalies.</t>
        </is>
      </c>
      <c r="E8" s="7" t="inlineStr">
        <is>
          <t>System logs generate natively within the EHR environment but are left unread.</t>
        </is>
      </c>
      <c r="F8" s="6" t="n">
        <v>4</v>
      </c>
      <c r="G8" s="6" t="n">
        <v>4</v>
      </c>
      <c r="H8" s="6">
        <f>F8*G8</f>
        <v/>
      </c>
      <c r="I8" s="6">
        <f>IF(H8&gt;=15, "Critical", IF(H8&gt;=10, "High", IF(H8&gt;=5, "Medium", "Low")))</f>
        <v/>
      </c>
      <c r="J8" s="6" t="inlineStr">
        <is>
          <t>$90,000 - $220,000</t>
        </is>
      </c>
      <c r="K8" s="7" t="inlineStr">
        <is>
          <t>Configure weekly administrative log summaries targeting high-volume record queries, external downloads, or failed authentications.</t>
        </is>
      </c>
      <c r="L8" s="6" t="inlineStr">
        <is>
          <t>None</t>
        </is>
      </c>
      <c r="M8" s="6" t="inlineStr">
        <is>
          <t>IT Manager</t>
        </is>
      </c>
      <c r="N8" s="6" t="inlineStr">
        <is>
          <t>Not Started</t>
        </is>
      </c>
    </row>
    <row r="9" ht="65" customHeight="1">
      <c r="A9" s="6" t="inlineStr">
        <is>
          <t>H-05</t>
        </is>
      </c>
      <c r="B9" s="6" t="inlineStr">
        <is>
          <t>§164.308(a)(7)(ii)(B)</t>
        </is>
      </c>
      <c r="C9" s="7" t="inlineStr">
        <is>
          <t>Backup recovery procedures that haven't been tested</t>
        </is>
      </c>
      <c r="D9" s="7" t="inlineStr">
        <is>
          <t>Data volumes save automatically to the cloud provider, but the clinic has never verified full bare-metal or system image recovery sequences.</t>
        </is>
      </c>
      <c r="E9" s="7" t="inlineStr">
        <is>
          <t>Automated nightly file backups are operational and report clean statuses.</t>
        </is>
      </c>
      <c r="F9" s="6" t="n">
        <v>3</v>
      </c>
      <c r="G9" s="6" t="n">
        <v>5</v>
      </c>
      <c r="H9" s="6">
        <f>F9*G9</f>
        <v/>
      </c>
      <c r="I9" s="6">
        <f>IF(H9&gt;=15, "Critical", IF(H9&gt;=10, "High", IF(H9&gt;=5, "Medium", "Low")))</f>
        <v/>
      </c>
      <c r="J9" s="6" t="inlineStr">
        <is>
          <t>$200,000 - $450,000+</t>
        </is>
      </c>
      <c r="K9" s="7" t="inlineStr">
        <is>
          <t>Conduct a complete sandboxed bare-metal data extraction and environment rebuild to verify actual RTO metrics.</t>
        </is>
      </c>
      <c r="L9" s="6" t="inlineStr">
        <is>
          <t>None</t>
        </is>
      </c>
      <c r="M9" s="6" t="inlineStr">
        <is>
          <t>IT Manager</t>
        </is>
      </c>
      <c r="N9" s="6" t="inlineStr">
        <is>
          <t>Not Started</t>
        </is>
      </c>
    </row>
    <row r="10" ht="65" customHeight="1">
      <c r="A10" s="6" t="inlineStr">
        <is>
          <t>H-06</t>
        </is>
      </c>
      <c r="B10" s="6" t="inlineStr">
        <is>
          <t>§164.308(a)(6)(ii)</t>
        </is>
      </c>
      <c r="C10" s="7" t="inlineStr">
        <is>
          <t>No formal incident response plan</t>
        </is>
      </c>
      <c r="D10" s="7" t="inlineStr">
        <is>
          <t>The organization functions without written incident recovery frameworks, step-by-step containment guidelines, or mandatory regulatory notification chains.</t>
        </is>
      </c>
      <c r="E10" s="7" t="inlineStr">
        <is>
          <t>IT fallback actions depend entirely on the phone triage and memory of individual technical contractors.</t>
        </is>
      </c>
      <c r="F10" s="6" t="n">
        <v>3</v>
      </c>
      <c r="G10" s="6" t="n">
        <v>5</v>
      </c>
      <c r="H10" s="6">
        <f>F10*G10</f>
        <v/>
      </c>
      <c r="I10" s="6">
        <f>IF(H10&gt;=15, "Critical", IF(H10&gt;=10, "High", IF(H10&gt;=5, "Medium", "Low")))</f>
        <v/>
      </c>
      <c r="J10" s="6" t="inlineStr">
        <is>
          <t>$150,000 - $350,000</t>
        </is>
      </c>
      <c r="K10" s="7" t="inlineStr">
        <is>
          <t>Draft a lean, practical Incident Response Plan detailing exact containment strategies for Ransomware and Business Email Compromise.</t>
        </is>
      </c>
      <c r="L10" s="6" t="inlineStr">
        <is>
          <t>None</t>
        </is>
      </c>
      <c r="M10" s="6" t="inlineStr">
        <is>
          <t>Practice Manager</t>
        </is>
      </c>
      <c r="N10" s="6" t="inlineStr">
        <is>
          <t>Not Started</t>
        </is>
      </c>
    </row>
    <row r="11" ht="65" customHeight="1">
      <c r="A11" s="6" t="inlineStr">
        <is>
          <t>H-07</t>
        </is>
      </c>
      <c r="B11" s="6" t="inlineStr">
        <is>
          <t>§164.308(b)(1)</t>
        </is>
      </c>
      <c r="C11" s="7" t="inlineStr">
        <is>
          <t>Limited vendor risk documentation</t>
        </is>
      </c>
      <c r="D11" s="7" t="inlineStr">
        <is>
          <t>Third-party healthcare services and cloud solutions managing ePHI are added without standardized security criteria or verified Business Associate Agreement tracking.</t>
        </is>
      </c>
      <c r="E11" s="7" t="inlineStr">
        <is>
          <t>Vendor vetting runs on operational features and pricing models; business associate agreements are unsystematic.</t>
        </is>
      </c>
      <c r="F11" s="6" t="n">
        <v>3</v>
      </c>
      <c r="G11" s="6" t="n">
        <v>4</v>
      </c>
      <c r="H11" s="6">
        <f>F11*G11</f>
        <v/>
      </c>
      <c r="I11" s="6">
        <f>IF(H11&gt;=15, "Critical", IF(H11&gt;=10, "High", IF(H11&gt;=5, "Medium", "Low")))</f>
        <v/>
      </c>
      <c r="J11" s="6" t="inlineStr">
        <is>
          <t>$80,000 - $200,000</t>
        </is>
      </c>
      <c r="K11" s="7" t="inlineStr">
        <is>
          <t>Build a unified Business Associate Agreement registry and integrate a baseline 10-point security checklist into vendor sign-offs.</t>
        </is>
      </c>
      <c r="L11" s="6" t="inlineStr">
        <is>
          <t>None</t>
        </is>
      </c>
      <c r="M11" s="6" t="inlineStr">
        <is>
          <t>Practice Manager</t>
        </is>
      </c>
      <c r="N11" s="6" t="inlineStr">
        <is>
          <t>Not Started</t>
        </is>
      </c>
    </row>
    <row r="12" ht="65" customHeight="1">
      <c r="A12" s="6" t="inlineStr">
        <is>
          <t>H-08</t>
        </is>
      </c>
      <c r="B12" s="6" t="inlineStr">
        <is>
          <t>§164.308(a)(5)(i)</t>
        </is>
      </c>
      <c r="C12" s="7" t="inlineStr">
        <is>
          <t>Security training not run on a consistent schedule</t>
        </is>
      </c>
      <c r="D12" s="7" t="inlineStr">
        <is>
          <t>Workforce training occurs only at initial hiring onboarding, leaving staff exposed to modern targeted social engineering vectors and sophisticated phishing techniques.</t>
        </is>
      </c>
      <c r="E12" s="7" t="inlineStr">
        <is>
          <t>HIPAA data rules are referenced briefly inside the legacy physical new-hire manual.</t>
        </is>
      </c>
      <c r="F12" s="6" t="n">
        <v>4</v>
      </c>
      <c r="G12" s="6" t="n">
        <v>3</v>
      </c>
      <c r="H12" s="6">
        <f>F12*G12</f>
        <v/>
      </c>
      <c r="I12" s="6">
        <f>IF(H12&gt;=15, "Critical", IF(H12&gt;=10, "High", IF(H12&gt;=5, "Medium", "Low")))</f>
        <v/>
      </c>
      <c r="J12" s="6" t="inlineStr">
        <is>
          <t>$40,000 - $110,000</t>
        </is>
      </c>
      <c r="K12" s="7" t="inlineStr">
        <is>
          <t>Deploy an automated micro-learning software module pushing monthly short compliance models and quarterly phishing tests.</t>
        </is>
      </c>
      <c r="L12" s="6" t="inlineStr">
        <is>
          <t>None</t>
        </is>
      </c>
      <c r="M12" s="6" t="inlineStr">
        <is>
          <t>HR Director</t>
        </is>
      </c>
      <c r="N12" s="6" t="inlineStr">
        <is>
          <t>Not Started</t>
        </is>
      </c>
    </row>
    <row r="13" ht="65" customHeight="1">
      <c r="A13" s="6" t="inlineStr">
        <is>
          <t>H-09</t>
        </is>
      </c>
      <c r="B13" s="6" t="inlineStr">
        <is>
          <t>§164.312(e)(1)</t>
        </is>
      </c>
      <c r="C13" s="7" t="inlineStr">
        <is>
          <t>Informal email and document sharing tracks</t>
        </is>
      </c>
      <c r="D13" s="7" t="inlineStr">
        <is>
          <t>Clinical documentation containing detailed ePHI is sometimes routed through unencrypted email channels or unrestricted public cloud storage sharing configurations.</t>
        </is>
      </c>
      <c r="E13" s="7" t="inlineStr">
        <is>
          <t>Cloud document storage settings are configured to allow external link forwarding for convenience.</t>
        </is>
      </c>
      <c r="F13" s="6" t="n">
        <v>3</v>
      </c>
      <c r="G13" s="6" t="n">
        <v>3</v>
      </c>
      <c r="H13" s="6">
        <f>F13*G13</f>
        <v/>
      </c>
      <c r="I13" s="6">
        <f>IF(H13&gt;=15, "Critical", IF(H13&gt;=10, "High", IF(H13&gt;=5, "Medium", "Low")))</f>
        <v/>
      </c>
      <c r="J13" s="6" t="inlineStr">
        <is>
          <t>$30,000 - $75,000</t>
        </is>
      </c>
      <c r="K13" s="7" t="inlineStr">
        <is>
          <t>Enforce tenant email classification settings to block unencrypted public transport of sensitive attachment content.</t>
        </is>
      </c>
      <c r="L13" s="6" t="inlineStr">
        <is>
          <t>H-01</t>
        </is>
      </c>
      <c r="M13" s="6" t="inlineStr">
        <is>
          <t>IT Manager</t>
        </is>
      </c>
      <c r="N13" s="6" t="inlineStr">
        <is>
          <t>Not Started</t>
        </is>
      </c>
    </row>
    <row r="14" ht="65" customHeight="1">
      <c r="A14" s="6" t="inlineStr">
        <is>
          <t>H-10</t>
        </is>
      </c>
      <c r="B14" s="6" t="inlineStr">
        <is>
          <t>§164.316</t>
        </is>
      </c>
      <c r="C14" s="7" t="inlineStr">
        <is>
          <t>Outdated policy frameworks</t>
        </is>
      </c>
      <c r="D14" s="7" t="inlineStr">
        <is>
          <t>Operational controls are handled through spoken team traditions and unverified guidelines instead of signed, systematically maintained policy modules.</t>
        </is>
      </c>
      <c r="E14" s="7" t="inlineStr">
        <is>
          <t>Clinic has a high-level corporate code-of-conduct document that has not changed in several years.</t>
        </is>
      </c>
      <c r="F14" s="6" t="n">
        <v>2</v>
      </c>
      <c r="G14" s="6" t="n">
        <v>3</v>
      </c>
      <c r="H14" s="6">
        <f>F14*G14</f>
        <v/>
      </c>
      <c r="I14" s="6">
        <f>IF(H14&gt;=15, "Critical", IF(H14&gt;=10, "High", IF(H14&gt;=5, "Medium", "Low")))</f>
        <v/>
      </c>
      <c r="J14" s="6" t="inlineStr">
        <is>
          <t>$20,000 - $50,000</t>
        </is>
      </c>
      <c r="K14" s="7" t="inlineStr">
        <is>
          <t>Draft a core baseline set of data protection policies, securing formal executive signatures and manual staff sign-offs.</t>
        </is>
      </c>
      <c r="L14" s="6" t="inlineStr">
        <is>
          <t>None</t>
        </is>
      </c>
      <c r="M14" s="6" t="inlineStr">
        <is>
          <t>Practice Manager</t>
        </is>
      </c>
      <c r="N14" s="6" t="inlineStr">
        <is>
          <t>Not Started</t>
        </is>
      </c>
    </row>
  </sheetData>
  <autoFilter ref="A4:N200"/>
  <conditionalFormatting sqref="H5:H200">
    <cfRule type="colorScale" priority="1">
      <colorScale>
        <cfvo type="num" val="1"/>
        <cfvo type="num" val="12"/>
        <cfvo type="num" val="25"/>
        <color rgb="00E8F5E9"/>
        <color rgb="00FFFDE7"/>
        <color rgb="00FFEBEE"/>
      </colorScale>
    </cfRule>
  </conditionalFormatting>
  <conditionalFormatting sqref="I5:I200">
    <cfRule type="cellIs" priority="2" operator="equal" dxfId="0">
      <formula>"Critical"</formula>
    </cfRule>
    <cfRule type="cellIs" priority="3" operator="equal" dxfId="1">
      <formula>"High"</formula>
    </cfRule>
    <cfRule type="cellIs" priority="4" operator="equal" dxfId="2">
      <formula>"Medium"</formula>
    </cfRule>
    <cfRule type="cellIs" priority="5" operator="equal" dxfId="3">
      <formula>"Low"</formula>
    </cfRule>
  </conditionalFormatting>
  <dataValidations count="3">
    <dataValidation sqref="F5:F200" showDropDown="0" showInputMessage="0" showErrorMessage="0" allowBlank="1" type="list">
      <formula1>Lookup!$A$2:$A$6</formula1>
    </dataValidation>
    <dataValidation sqref="G5:G200" showDropDown="0" showInputMessage="0" showErrorMessage="0" allowBlank="1" type="list">
      <formula1>Lookup!$A$2:$A$6</formula1>
    </dataValidation>
    <dataValidation sqref="N5:N200" showDropDown="0" showInputMessage="0" showErrorMessage="0" allowBlank="1" type="list">
      <formula1>Lookup!$B$2:$B$4</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2026-06-21T22:32:49Z</dcterms:created>
  <dcterms:modified xmlns:dcterms="http://purl.org/dc/terms/" xmlns:xsi="http://www.w3.org/2001/XMLSchema-instance" xsi:type="dcterms:W3CDTF">2026-06-21T22:32:49Z</dcterms:modified>
</cp:coreProperties>
</file>